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turbinelogic-my.sharepoint.com/personal/cperullo_turbinelogic_com/Documents/Consulting/EPRI/PV Monitoring/DOE SETO/Moving Window Flagging/"/>
    </mc:Choice>
  </mc:AlternateContent>
  <xr:revisionPtr revIDLastSave="333" documentId="8_{51C62EC3-139D-4C95-88F4-34DF438ACD4D}" xr6:coauthVersionLast="47" xr6:coauthVersionMax="47" xr10:uidLastSave="{3C69C7C7-5FE6-4E2A-A6BA-ECF24FFC29CE}"/>
  <bookViews>
    <workbookView xWindow="28800" yWindow="0" windowWidth="28800" windowHeight="23400" xr2:uid="{AA59E996-A2E5-4B33-930D-AF9400BC6135}"/>
  </bookViews>
  <sheets>
    <sheet name="Alarm X out of Y Calculator" sheetId="3" r:id="rId1"/>
  </sheets>
  <functionGroups builtInGroupCount="19"/>
  <definedNames>
    <definedName name="_xlpm.c" hidden="1" xlm="1">#NAME?</definedName>
    <definedName name="_xlpm.cols" hidden="1" xlm="1">#NAME?</definedName>
    <definedName name="_xlpm.endCol" hidden="1" xlm="1">#NAME?</definedName>
    <definedName name="_xlpm.l" hidden="1" xlm="1">#NAME?</definedName>
    <definedName name="_xlpm.rows" hidden="1" xlm="1">#NAME?</definedName>
    <definedName name="_xlpm.startCol"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8" i="3" l="1"/>
  <c r="N78" i="3"/>
  <c r="O78" i="3"/>
  <c r="P78" i="3"/>
  <c r="Q78" i="3"/>
  <c r="R78" i="3"/>
  <c r="S78" i="3"/>
  <c r="T78" i="3"/>
  <c r="U78" i="3"/>
  <c r="V78" i="3"/>
  <c r="W78" i="3"/>
  <c r="X78" i="3"/>
  <c r="Y78" i="3"/>
  <c r="Z78" i="3"/>
  <c r="AA78" i="3"/>
  <c r="AB78" i="3"/>
  <c r="AC78" i="3"/>
  <c r="AD78" i="3"/>
  <c r="AE78" i="3"/>
  <c r="AF78" i="3"/>
  <c r="AG78" i="3"/>
  <c r="AH78" i="3"/>
  <c r="AI78" i="3"/>
  <c r="AJ78" i="3"/>
  <c r="AK78" i="3"/>
  <c r="AL78" i="3"/>
  <c r="AM78" i="3"/>
  <c r="AN78" i="3"/>
  <c r="AO78" i="3"/>
  <c r="AP78" i="3"/>
  <c r="AQ78" i="3"/>
  <c r="AR78" i="3"/>
  <c r="AS78" i="3"/>
  <c r="AT78" i="3"/>
  <c r="AU78" i="3"/>
  <c r="AV78" i="3"/>
  <c r="AW78" i="3"/>
  <c r="AX78" i="3"/>
  <c r="AY78" i="3"/>
  <c r="AZ78" i="3"/>
  <c r="BA78" i="3"/>
  <c r="BB78" i="3"/>
  <c r="BC78" i="3"/>
  <c r="BD78" i="3"/>
  <c r="BE78" i="3"/>
  <c r="BF78" i="3"/>
  <c r="BG78" i="3"/>
  <c r="BH78" i="3"/>
  <c r="BI78" i="3"/>
  <c r="BJ78" i="3"/>
  <c r="M78" i="3"/>
  <c r="N77" i="3"/>
  <c r="O77" i="3"/>
  <c r="P77" i="3"/>
  <c r="Q77" i="3"/>
  <c r="R77" i="3"/>
  <c r="S77" i="3"/>
  <c r="T77" i="3"/>
  <c r="U77" i="3"/>
  <c r="V77" i="3"/>
  <c r="W77" i="3"/>
  <c r="X77" i="3"/>
  <c r="Y77" i="3"/>
  <c r="Z77" i="3"/>
  <c r="AA77" i="3"/>
  <c r="AB77" i="3"/>
  <c r="AC77" i="3"/>
  <c r="AD77" i="3"/>
  <c r="AE77" i="3"/>
  <c r="AF77" i="3"/>
  <c r="AG77" i="3"/>
  <c r="AH77" i="3"/>
  <c r="AI77" i="3"/>
  <c r="AJ77" i="3"/>
  <c r="AK77" i="3"/>
  <c r="AL77" i="3"/>
  <c r="AM77" i="3"/>
  <c r="AN77" i="3"/>
  <c r="AO77" i="3"/>
  <c r="AP77" i="3"/>
  <c r="AQ77" i="3"/>
  <c r="AR77" i="3"/>
  <c r="AS77" i="3"/>
  <c r="AT77" i="3"/>
  <c r="AU77" i="3"/>
  <c r="AV77" i="3"/>
  <c r="AW77" i="3"/>
  <c r="AX77" i="3"/>
  <c r="AY77" i="3"/>
  <c r="AZ77" i="3"/>
  <c r="BA77" i="3"/>
  <c r="BB77" i="3"/>
  <c r="BC77" i="3"/>
  <c r="BD77" i="3"/>
  <c r="BE77" i="3"/>
  <c r="BF77" i="3"/>
  <c r="BG77" i="3"/>
  <c r="BH77" i="3"/>
  <c r="BI77" i="3"/>
  <c r="BJ77" i="3"/>
  <c r="M77" i="3"/>
  <c r="V6" i="3"/>
  <c r="V7" i="3" s="1"/>
  <c r="E15" i="3" a="1"/>
  <c r="E16" i="3" a="1"/>
  <c r="N80" i="3" l="1"/>
  <c r="BD79" i="3"/>
  <c r="AN79" i="3"/>
  <c r="X79" i="3"/>
  <c r="T81" i="3"/>
  <c r="AY79" i="3"/>
  <c r="AI80" i="3"/>
  <c r="AD81" i="3"/>
  <c r="AV80" i="3"/>
  <c r="AF80" i="3"/>
  <c r="P80" i="3"/>
  <c r="M79" i="3"/>
  <c r="O81" i="3"/>
  <c r="AJ80" i="3"/>
  <c r="V79" i="3"/>
  <c r="BA80" i="3"/>
  <c r="AK80" i="3"/>
  <c r="U80" i="3"/>
  <c r="T80" i="3"/>
  <c r="S79" i="3"/>
  <c r="R79" i="3"/>
  <c r="Q79" i="3"/>
  <c r="AT80" i="3"/>
  <c r="AD80" i="3"/>
  <c r="N81" i="3"/>
  <c r="BI79" i="3"/>
  <c r="AS79" i="3"/>
  <c r="AC79" i="3"/>
  <c r="N79" i="3"/>
  <c r="BI80" i="3"/>
  <c r="BF79" i="3"/>
  <c r="AP79" i="3"/>
  <c r="Z79" i="3"/>
  <c r="BH80" i="3"/>
  <c r="AR81" i="3"/>
  <c r="AB80" i="3"/>
  <c r="BE79" i="3"/>
  <c r="AO79" i="3"/>
  <c r="Y79" i="3"/>
  <c r="BG79" i="3"/>
  <c r="AQ79" i="3"/>
  <c r="AA79" i="3"/>
  <c r="BC79" i="3"/>
  <c r="BB79" i="3"/>
  <c r="AL79" i="3"/>
  <c r="AX80" i="3"/>
  <c r="AH80" i="3"/>
  <c r="R80" i="3"/>
  <c r="AZ79" i="3"/>
  <c r="AX81" i="3"/>
  <c r="AW80" i="3"/>
  <c r="AG80" i="3"/>
  <c r="Q80" i="3"/>
  <c r="AS81" i="3"/>
  <c r="AK79" i="3"/>
  <c r="AJ81" i="3"/>
  <c r="AI81" i="3"/>
  <c r="BA79" i="3"/>
  <c r="AG81" i="3"/>
  <c r="AX79" i="3"/>
  <c r="P79" i="3"/>
  <c r="M80" i="3"/>
  <c r="AU80" i="3"/>
  <c r="AE80" i="3"/>
  <c r="O80" i="3"/>
  <c r="M81" i="3"/>
  <c r="AF81" i="3"/>
  <c r="AW79" i="3"/>
  <c r="BJ79" i="3"/>
  <c r="AT79" i="3"/>
  <c r="AD79" i="3"/>
  <c r="BJ81" i="3"/>
  <c r="AE81" i="3"/>
  <c r="AV79" i="3"/>
  <c r="AZ80" i="3"/>
  <c r="AK81" i="3"/>
  <c r="AH81" i="3"/>
  <c r="BI81" i="3"/>
  <c r="AU79" i="3"/>
  <c r="BH79" i="3"/>
  <c r="AR79" i="3"/>
  <c r="AB79" i="3"/>
  <c r="BA81" i="3"/>
  <c r="AC81" i="3"/>
  <c r="BJ80" i="3"/>
  <c r="AZ81" i="3"/>
  <c r="U81" i="3"/>
  <c r="AJ79" i="3"/>
  <c r="AI79" i="3"/>
  <c r="AW81" i="3"/>
  <c r="R81" i="3"/>
  <c r="AH79" i="3"/>
  <c r="AS80" i="3"/>
  <c r="AV81" i="3"/>
  <c r="Q81" i="3"/>
  <c r="AG79" i="3"/>
  <c r="BC81" i="3"/>
  <c r="AM79" i="3"/>
  <c r="W79" i="3"/>
  <c r="AU81" i="3"/>
  <c r="P81" i="3"/>
  <c r="AF79" i="3"/>
  <c r="BB81" i="3"/>
  <c r="AL81" i="3"/>
  <c r="V81" i="3"/>
  <c r="AC80" i="3"/>
  <c r="AT81" i="3"/>
  <c r="O79" i="3"/>
  <c r="AE79" i="3"/>
  <c r="U79" i="3"/>
  <c r="T79" i="3"/>
  <c r="AR80" i="3"/>
  <c r="AY81" i="3"/>
  <c r="AA80" i="3"/>
  <c r="BD80" i="3"/>
  <c r="X80" i="3"/>
  <c r="BC80" i="3"/>
  <c r="BB80" i="3"/>
  <c r="AL80" i="3"/>
  <c r="V80" i="3"/>
  <c r="BH81" i="3"/>
  <c r="AB81" i="3"/>
  <c r="BG81" i="3"/>
  <c r="AQ81" i="3"/>
  <c r="AA81" i="3"/>
  <c r="AY80" i="3"/>
  <c r="S80" i="3"/>
  <c r="BF81" i="3"/>
  <c r="AP81" i="3"/>
  <c r="Z81" i="3"/>
  <c r="S81" i="3"/>
  <c r="BG80" i="3"/>
  <c r="AQ80" i="3"/>
  <c r="BF80" i="3"/>
  <c r="AP80" i="3"/>
  <c r="Z80" i="3"/>
  <c r="BE80" i="3"/>
  <c r="AO80" i="3"/>
  <c r="Y80" i="3"/>
  <c r="AN80" i="3"/>
  <c r="AM80" i="3"/>
  <c r="W80" i="3"/>
  <c r="BE81" i="3"/>
  <c r="AO81" i="3"/>
  <c r="Y81" i="3"/>
  <c r="BD81" i="3"/>
  <c r="AN81" i="3"/>
  <c r="X81" i="3"/>
  <c r="AM81" i="3"/>
  <c r="W81" i="3"/>
  <c r="E16" i="3"/>
  <c r="E15" i="3"/>
  <c r="U9" i="3"/>
  <c r="N82" i="3" l="1"/>
  <c r="U82" i="3"/>
  <c r="AD82" i="3"/>
  <c r="BD82" i="3"/>
  <c r="AX82" i="3"/>
  <c r="BC82" i="3"/>
  <c r="M82" i="3"/>
  <c r="AL82" i="3"/>
  <c r="AZ82" i="3"/>
  <c r="AW82" i="3"/>
  <c r="BA82" i="3"/>
  <c r="AB82" i="3"/>
  <c r="S82" i="3"/>
  <c r="AR82" i="3"/>
  <c r="AG82" i="3"/>
  <c r="P82" i="3"/>
  <c r="R82" i="3"/>
  <c r="AK82" i="3"/>
  <c r="AY82" i="3"/>
  <c r="T82" i="3"/>
  <c r="AP82" i="3"/>
  <c r="BF82" i="3"/>
  <c r="BB82" i="3"/>
  <c r="AQ82" i="3"/>
  <c r="BG82" i="3"/>
  <c r="AV82" i="3"/>
  <c r="AC82" i="3"/>
  <c r="AN82" i="3"/>
  <c r="AF82" i="3"/>
  <c r="AJ82" i="3"/>
  <c r="AT82" i="3"/>
  <c r="Y82" i="3"/>
  <c r="Q82" i="3"/>
  <c r="AU82" i="3"/>
  <c r="BI82" i="3"/>
  <c r="Z82" i="3"/>
  <c r="V82" i="3"/>
  <c r="AS82" i="3"/>
  <c r="X82" i="3"/>
  <c r="BJ82" i="3"/>
  <c r="AA82" i="3"/>
  <c r="AE82" i="3"/>
  <c r="O82" i="3"/>
  <c r="AH82" i="3"/>
  <c r="AM82" i="3"/>
  <c r="W82" i="3"/>
  <c r="AI82" i="3"/>
  <c r="AO82" i="3"/>
  <c r="BE82" i="3"/>
  <c r="BH82" i="3"/>
  <c r="E17" i="3"/>
  <c r="E18" i="3" s="1"/>
  <c r="L25" i="3" s="1"/>
  <c r="D22" i="3" l="1" a="1"/>
  <c r="D22"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<sst xmlns="http://schemas.openxmlformats.org/spreadsheetml/2006/main" count="37" uniqueCount="37">
  <si>
    <t>mu0</t>
  </si>
  <si>
    <t>sigma0</t>
  </si>
  <si>
    <t>Sigma non-flagged</t>
  </si>
  <si>
    <t>In Baseline Period</t>
  </si>
  <si>
    <t>Probabiltiy of Fault</t>
  </si>
  <si>
    <t>Probability of No Fault</t>
  </si>
  <si>
    <t>Mean flagged with no fault</t>
  </si>
  <si>
    <t>How many times did the residual signal exceed the threshold?</t>
  </si>
  <si>
    <t>How often is data sampled?</t>
  </si>
  <si>
    <t>minutes</t>
  </si>
  <si>
    <t>How many times was the residual signal below the threshold?</t>
  </si>
  <si>
    <r>
      <t xml:space="preserve">In a period where you </t>
    </r>
    <r>
      <rPr>
        <b/>
        <sz val="11"/>
        <color theme="1"/>
        <rFont val="Arial"/>
        <family val="2"/>
        <scheme val="minor"/>
      </rPr>
      <t>know</t>
    </r>
    <r>
      <rPr>
        <sz val="11"/>
        <color theme="1"/>
        <rFont val="Arial"/>
        <family val="2"/>
        <scheme val="minor"/>
      </rPr>
      <t xml:space="preserve"> there were no failures</t>
    </r>
  </si>
  <si>
    <t>What you think you know</t>
  </si>
  <si>
    <t>A potential 'run'</t>
  </si>
  <si>
    <t>Points Above Residiual</t>
  </si>
  <si>
    <t>Ponints Below Residual</t>
  </si>
  <si>
    <t>What False Alarm Percentage Would You Tolerate?</t>
  </si>
  <si>
    <t>Probability of This Failure Occuring independently at any time?</t>
  </si>
  <si>
    <t>Points above -&gt;</t>
  </si>
  <si>
    <t>Start</t>
  </si>
  <si>
    <t>End</t>
  </si>
  <si>
    <t>x</t>
  </si>
  <si>
    <t>out of</t>
  </si>
  <si>
    <t>y</t>
  </si>
  <si>
    <t>String</t>
  </si>
  <si>
    <t>The "MATH"</t>
  </si>
  <si>
    <t>Probabilty of Fault, Given Signal entered in row 13 and 14</t>
  </si>
  <si>
    <t>Probability of False Alarm, Given Signal entered in row 13 and 14</t>
  </si>
  <si>
    <t>Probabilty of Signal, given fault and signal entered in row 13 and 14</t>
  </si>
  <si>
    <t>Probabiltiy of Signal, given No Fault and signal entered in row 13 and 14</t>
  </si>
  <si>
    <t>Resulting Alarming Rules (if any is true, alert the user)</t>
  </si>
  <si>
    <t>This spreadsheet and its contents are provided for educational purposes only and are not intended to be used as professional advice or services. The calculations, assumptions, and data contained within are illustrative and should be independently verified before being used for any real-world decision-making. Turbine Logic makes no warranties regarding the accuracy, reliability, or completeness of the information provided and will not be liable for any errors, omissions, or for any losses, injuries, or damages arising from its use or display. Users should exercise their own judgment and consult with a professional if required.</t>
  </si>
  <si>
    <t>Step 1: How good is your model when there are no failures?</t>
  </si>
  <si>
    <t>Step 2: What do you think you know?</t>
  </si>
  <si>
    <t>Step 3 - test how many true and false signals would trigger an alarm</t>
  </si>
  <si>
    <t>Step 4: Calculate the probability of a fault, given the signal and the proability of a false alarm given the inputs in steps 1-3</t>
  </si>
  <si>
    <t>This spreadsheet can help you determine which "x out of y" rules apply given your historical false alarm rate and desired accuracy. If any of the resulting alarm rules listed are triggered then that indicates a user-alert should be triggered.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</si>
</sst>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00%"/>
  </numFmts>
  <fonts count="8" x14ac:knownFonts="1">
    <font>
      <sz val="11"/>
      <color theme="1"/>
      <name val="Arial"/>
      <family val="2"/>
      <scheme val="minor"/>
    </font>
    <font>
      <i/>
      <sz val="11"/>
      <color theme="1"/>
      <name val="Arial"/>
      <family val="2"/>
      <scheme val="minor"/>
    </font>
    <font>
      <b/>
      <sz val="11"/>
      <color theme="1"/>
      <name val="Arial"/>
      <family val="2"/>
      <scheme val="minor"/>
    </font>
    <font>
      <sz val="11"/>
      <color theme="1"/>
      <name val="Arial"/>
      <family val="2"/>
      <scheme val="minor"/>
    </font>
    <font>
      <b/>
      <sz val="11"/>
      <color rgb="FFFF0000"/>
      <name val="Arial"/>
      <family val="2"/>
      <scheme val="minor"/>
    </font>
    <font>
      <b/>
      <sz val="11"/>
      <color theme="6"/>
      <name val="Arial"/>
      <family val="2"/>
      <scheme val="minor"/>
    </font>
    <font>
      <i/>
      <sz val="11"/>
      <color theme="0" tint="-0.249977111117893"/>
      <name val="Arial"/>
      <family val="2"/>
      <scheme val="minor"/>
    </font>
    <font>
      <b/>
      <sz val="11"/>
      <color theme="4"/>
      <name val="Arial"/>
      <family val="2"/>
      <scheme val="minor"/>
    </font>
  </fonts>
  <fills count="4">
    <fill>
      <patternFill patternType="none"/>
    </fill>
    <fill>
      <patternFill patternType="gray125"/>
    </fill>
    <fill>
      <patternFill patternType="solid">
        <fgColor theme="6"/>
        <bgColor indexed="64"/>
      </patternFill>
    </fill>
    <fill>
      <patternFill patternType="solid">
        <fgColor theme="1"/>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3" fillId="0" borderId="0" applyFont="0" applyFill="0" applyBorder="0" applyAlignment="0" applyProtection="0"/>
    <xf numFmtId="43" fontId="3" fillId="0" borderId="0" applyFont="0" applyFill="0" applyBorder="0" applyAlignment="0" applyProtection="0"/>
  </cellStyleXfs>
  <cellXfs count="36">
    <xf numFmtId="0" fontId="0" fillId="0" borderId="0" xfId="0"/>
    <xf numFmtId="0" fontId="1" fillId="0" borderId="0" xfId="0" applyFont="1"/>
    <xf numFmtId="0" fontId="0" fillId="2" borderId="0" xfId="0" applyFill="1"/>
    <xf numFmtId="0" fontId="2" fillId="0" borderId="0" xfId="0" applyFont="1"/>
    <xf numFmtId="11" fontId="0" fillId="0" borderId="0" xfId="0" applyNumberFormat="1"/>
    <xf numFmtId="9" fontId="0" fillId="0" borderId="0" xfId="0" applyNumberFormat="1"/>
    <xf numFmtId="164" fontId="0" fillId="0" borderId="0" xfId="0" applyNumberFormat="1"/>
    <xf numFmtId="43" fontId="0" fillId="0" borderId="0" xfId="2" applyFont="1"/>
    <xf numFmtId="43" fontId="0" fillId="0" borderId="0" xfId="2" applyFont="1" applyFill="1"/>
    <xf numFmtId="0" fontId="0" fillId="0" borderId="2" xfId="0" applyBorder="1"/>
    <xf numFmtId="0" fontId="0" fillId="0" borderId="3" xfId="0" applyBorder="1"/>
    <xf numFmtId="0" fontId="0" fillId="0" borderId="5" xfId="0" applyBorder="1"/>
    <xf numFmtId="0" fontId="0" fillId="0" borderId="7" xfId="0" applyBorder="1"/>
    <xf numFmtId="0" fontId="1" fillId="0" borderId="8" xfId="0" applyFont="1" applyBorder="1"/>
    <xf numFmtId="0" fontId="0" fillId="0" borderId="8" xfId="0" applyBorder="1"/>
    <xf numFmtId="0" fontId="4" fillId="0" borderId="2" xfId="0" applyFont="1" applyBorder="1"/>
    <xf numFmtId="0" fontId="5" fillId="0" borderId="7" xfId="0" applyFont="1" applyBorder="1"/>
    <xf numFmtId="9" fontId="0" fillId="0" borderId="2" xfId="1" applyFont="1" applyBorder="1"/>
    <xf numFmtId="9" fontId="0" fillId="0" borderId="0" xfId="1" applyFont="1" applyBorder="1"/>
    <xf numFmtId="164" fontId="0" fillId="0" borderId="0" xfId="1" applyNumberFormat="1" applyFont="1" applyBorder="1"/>
    <xf numFmtId="164" fontId="0" fillId="0" borderId="7" xfId="0" applyNumberFormat="1" applyBorder="1"/>
    <xf numFmtId="0" fontId="0" fillId="0" borderId="2" xfId="0" applyBorder="1" applyProtection="1">
      <protection locked="0"/>
    </xf>
    <xf numFmtId="0" fontId="0" fillId="0" borderId="0" xfId="0" applyProtection="1">
      <protection locked="0"/>
    </xf>
    <xf numFmtId="0" fontId="0" fillId="0" borderId="7" xfId="0" applyBorder="1" applyProtection="1">
      <protection locked="0"/>
    </xf>
    <xf numFmtId="164" fontId="0" fillId="0" borderId="2" xfId="0" applyNumberFormat="1" applyBorder="1" applyProtection="1">
      <protection locked="0"/>
    </xf>
    <xf numFmtId="9" fontId="0" fillId="0" borderId="7" xfId="0" applyNumberFormat="1" applyBorder="1" applyProtection="1">
      <protection locked="0"/>
    </xf>
    <xf numFmtId="0" fontId="2" fillId="0" borderId="0" xfId="0" applyFont="1" applyAlignment="1">
      <alignment horizontal="right" vertical="center" wrapText="1"/>
    </xf>
    <xf numFmtId="0" fontId="2" fillId="0" borderId="5" xfId="0" applyFont="1" applyBorder="1" applyAlignment="1">
      <alignment horizontal="right" vertical="center" wrapText="1"/>
    </xf>
    <xf numFmtId="0" fontId="2" fillId="0" borderId="0" xfId="0" applyFont="1" applyAlignment="1">
      <alignment horizontal="right" vertical="center"/>
    </xf>
    <xf numFmtId="0" fontId="2" fillId="0" borderId="5" xfId="0" applyFont="1" applyBorder="1" applyAlignment="1">
      <alignment horizontal="right" vertical="center"/>
    </xf>
    <xf numFmtId="0" fontId="0" fillId="0" borderId="1"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xf>
    <xf numFmtId="0" fontId="6" fillId="0" borderId="0" xfId="0" applyFont="1" applyAlignment="1">
      <alignment horizontal="left" wrapText="1"/>
    </xf>
    <xf numFmtId="0" fontId="7" fillId="3" borderId="0" xfId="0" applyFont="1" applyFill="1" applyAlignment="1">
      <alignment horizontal="left" vertical="top" wrapText="1"/>
    </xf>
  </cellXfs>
  <cellStyles count="3">
    <cellStyle name="Comma" xfId="2" builtinId="3"/>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2501347</xdr:colOff>
      <xdr:row>6</xdr:row>
      <xdr:rowOff>114480</xdr:rowOff>
    </xdr:to>
    <xdr:pic>
      <xdr:nvPicPr>
        <xdr:cNvPr id="2" name="Picture 1">
          <a:extLst>
            <a:ext uri="{FF2B5EF4-FFF2-40B4-BE49-F238E27FC236}">
              <a16:creationId xmlns:a16="http://schemas.microsoft.com/office/drawing/2014/main" id="{B10D3B4C-B8AC-E634-7A01-7E766945F969}"/>
            </a:ext>
          </a:extLst>
        </xdr:cNvPr>
        <xdr:cNvPicPr>
          <a:picLocks noChangeAspect="1"/>
        </xdr:cNvPicPr>
      </xdr:nvPicPr>
      <xdr:blipFill>
        <a:blip xmlns:r="http://schemas.openxmlformats.org/officeDocument/2006/relationships" r:embed="rId1"/>
        <a:stretch>
          <a:fillRect/>
        </a:stretch>
      </xdr:blipFill>
      <xdr:spPr>
        <a:xfrm>
          <a:off x="0" y="0"/>
          <a:ext cx="3188804" cy="1207784"/>
        </a:xfrm>
        <a:prstGeom prst="rect">
          <a:avLst/>
        </a:prstGeom>
      </xdr:spPr>
    </xdr:pic>
    <xdr:clientData/>
  </xdr:twoCellAnchor>
</xdr:wsDr>
</file>

<file path=xl/theme/theme1.xml><?xml version="1.0" encoding="utf-8"?>
<a:theme xmlns:a="http://schemas.openxmlformats.org/drawingml/2006/main" name="TL 2022 PPTX">
  <a:themeElements>
    <a:clrScheme name="Categorical palette v2">
      <a:dk1>
        <a:sysClr val="windowText" lastClr="000000"/>
      </a:dk1>
      <a:lt1>
        <a:sysClr val="window" lastClr="FFFFFF"/>
      </a:lt1>
      <a:dk2>
        <a:srgbClr val="44546A"/>
      </a:dk2>
      <a:lt2>
        <a:srgbClr val="E7E6E6"/>
      </a:lt2>
      <a:accent1>
        <a:srgbClr val="FFC845"/>
      </a:accent1>
      <a:accent2>
        <a:srgbClr val="003F5C"/>
      </a:accent2>
      <a:accent3>
        <a:srgbClr val="008479"/>
      </a:accent3>
      <a:accent4>
        <a:srgbClr val="9B9C9E"/>
      </a:accent4>
      <a:accent5>
        <a:srgbClr val="63373D"/>
      </a:accent5>
      <a:accent6>
        <a:srgbClr val="D3751F"/>
      </a:accent6>
      <a:hlink>
        <a:srgbClr val="0563C1"/>
      </a:hlink>
      <a:folHlink>
        <a:srgbClr val="954F72"/>
      </a:folHlink>
    </a:clrScheme>
    <a:fontScheme name="blank">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ctr" anchorCtr="0" compatLnSpc="1">
        <a:prstTxWarp prst="textNoShape">
          <a:avLst/>
        </a:prstTxWarp>
      </a:bodyPr>
      <a:lstStyle>
        <a:defPPr marL="219075" marR="0" indent="-219075" algn="ctr" defTabSz="914400" rtl="0" eaLnBrk="0" fontAlgn="base" latinLnBrk="0" hangingPunct="0">
          <a:lnSpc>
            <a:spcPct val="100000"/>
          </a:lnSpc>
          <a:spcBef>
            <a:spcPct val="50000"/>
          </a:spcBef>
          <a:spcAft>
            <a:spcPct val="0"/>
          </a:spcAft>
          <a:buClrTx/>
          <a:buSzTx/>
          <a:buFontTx/>
          <a:buNone/>
          <a:tabLst/>
          <a:defRPr kumimoji="0" lang="en-US" sz="1600" b="0" i="0" u="none" strike="noStrike" cap="none" normalizeH="0" baseline="0" smtClean="0">
            <a:ln>
              <a:noFill/>
            </a:ln>
            <a:solidFill>
              <a:srgbClr val="000000"/>
            </a:solidFill>
            <a:effectLst/>
            <a:latin typeface="Arial" charset="0"/>
          </a:defRPr>
        </a:defPPr>
      </a:lstStyle>
    </a:spDef>
    <a:ln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ctr" anchorCtr="0" compatLnSpc="1">
        <a:prstTxWarp prst="textNoShape">
          <a:avLst/>
        </a:prstTxWarp>
      </a:bodyPr>
      <a:lstStyle>
        <a:defPPr marL="219075" marR="0" indent="-219075" algn="ctr" defTabSz="914400" rtl="0" eaLnBrk="0" fontAlgn="base" latinLnBrk="0" hangingPunct="0">
          <a:lnSpc>
            <a:spcPct val="100000"/>
          </a:lnSpc>
          <a:spcBef>
            <a:spcPct val="50000"/>
          </a:spcBef>
          <a:spcAft>
            <a:spcPct val="0"/>
          </a:spcAft>
          <a:buClrTx/>
          <a:buSzTx/>
          <a:buFontTx/>
          <a:buNone/>
          <a:tabLst/>
          <a:defRPr kumimoji="0" lang="en-US" sz="1600" b="0" i="0" u="none" strike="noStrike" cap="none" normalizeH="0" baseline="0" smtClean="0">
            <a:ln>
              <a:noFill/>
            </a:ln>
            <a:solidFill>
              <a:srgbClr val="000000"/>
            </a:solidFill>
            <a:effectLst/>
            <a:latin typeface="Arial" charset="0"/>
          </a:defRPr>
        </a:defPPr>
      </a:lstStyle>
    </a:lnDef>
  </a:objectDefaults>
  <a:extraClrSchemeLst>
    <a:extraClrScheme>
      <a:clrScheme name="blank 1">
        <a:dk1>
          <a:srgbClr val="000000"/>
        </a:dk1>
        <a:lt1>
          <a:srgbClr val="FFFFFF"/>
        </a:lt1>
        <a:dk2>
          <a:srgbClr val="000000"/>
        </a:dk2>
        <a:lt2>
          <a:srgbClr val="808080"/>
        </a:lt2>
        <a:accent1>
          <a:srgbClr val="BBE0E3"/>
        </a:accent1>
        <a:accent2>
          <a:srgbClr val="333399"/>
        </a:accent2>
        <a:accent3>
          <a:srgbClr val="FFFFFF"/>
        </a:accent3>
        <a:accent4>
          <a:srgbClr val="000000"/>
        </a:accent4>
        <a:accent5>
          <a:srgbClr val="DAEDEF"/>
        </a:accent5>
        <a:accent6>
          <a:srgbClr val="2D2D8A"/>
        </a:accent6>
        <a:hlink>
          <a:srgbClr val="009999"/>
        </a:hlink>
        <a:folHlink>
          <a:srgbClr val="99CC00"/>
        </a:folHlink>
      </a:clrScheme>
      <a:clrMap bg1="lt1" tx1="dk1" bg2="lt2" tx2="dk2" accent1="accent1" accent2="accent2" accent3="accent3" accent4="accent4" accent5="accent5" accent6="accent6" hlink="hlink" folHlink="folHlink"/>
    </a:extraClrScheme>
    <a:extraClrScheme>
      <a:clrScheme name="blank 2">
        <a:dk1>
          <a:srgbClr val="000000"/>
        </a:dk1>
        <a:lt1>
          <a:srgbClr val="FFFFFF"/>
        </a:lt1>
        <a:dk2>
          <a:srgbClr val="000000"/>
        </a:dk2>
        <a:lt2>
          <a:srgbClr val="969696"/>
        </a:lt2>
        <a:accent1>
          <a:srgbClr val="FBDF53"/>
        </a:accent1>
        <a:accent2>
          <a:srgbClr val="FF9966"/>
        </a:accent2>
        <a:accent3>
          <a:srgbClr val="FFFFFF"/>
        </a:accent3>
        <a:accent4>
          <a:srgbClr val="000000"/>
        </a:accent4>
        <a:accent5>
          <a:srgbClr val="FDECB3"/>
        </a:accent5>
        <a:accent6>
          <a:srgbClr val="E78A5C"/>
        </a:accent6>
        <a:hlink>
          <a:srgbClr val="CC3300"/>
        </a:hlink>
        <a:folHlink>
          <a:srgbClr val="996600"/>
        </a:folHlink>
      </a:clrScheme>
      <a:clrMap bg1="lt1" tx1="dk1" bg2="lt2" tx2="dk2" accent1="accent1" accent2="accent2" accent3="accent3" accent4="accent4" accent5="accent5" accent6="accent6" hlink="hlink" folHlink="folHlink"/>
    </a:extraClrScheme>
    <a:extraClrScheme>
      <a:clrScheme name="blank 3">
        <a:dk1>
          <a:srgbClr val="000000"/>
        </a:dk1>
        <a:lt1>
          <a:srgbClr val="FFFFFF"/>
        </a:lt1>
        <a:dk2>
          <a:srgbClr val="000000"/>
        </a:dk2>
        <a:lt2>
          <a:srgbClr val="808080"/>
        </a:lt2>
        <a:accent1>
          <a:srgbClr val="99CCFF"/>
        </a:accent1>
        <a:accent2>
          <a:srgbClr val="CCCCFF"/>
        </a:accent2>
        <a:accent3>
          <a:srgbClr val="FFFFFF"/>
        </a:accent3>
        <a:accent4>
          <a:srgbClr val="000000"/>
        </a:accent4>
        <a:accent5>
          <a:srgbClr val="CAE2FF"/>
        </a:accent5>
        <a:accent6>
          <a:srgbClr val="B9B9E7"/>
        </a:accent6>
        <a:hlink>
          <a:srgbClr val="3333CC"/>
        </a:hlink>
        <a:folHlink>
          <a:srgbClr val="AF67FF"/>
        </a:folHlink>
      </a:clrScheme>
      <a:clrMap bg1="lt1" tx1="dk1" bg2="lt2" tx2="dk2" accent1="accent1" accent2="accent2" accent3="accent3" accent4="accent4" accent5="accent5" accent6="accent6" hlink="hlink" folHlink="folHlink"/>
    </a:extraClrScheme>
    <a:extraClrScheme>
      <a:clrScheme name="blank 4">
        <a:dk1>
          <a:srgbClr val="000000"/>
        </a:dk1>
        <a:lt1>
          <a:srgbClr val="DEF6F1"/>
        </a:lt1>
        <a:dk2>
          <a:srgbClr val="000000"/>
        </a:dk2>
        <a:lt2>
          <a:srgbClr val="969696"/>
        </a:lt2>
        <a:accent1>
          <a:srgbClr val="FFFFFF"/>
        </a:accent1>
        <a:accent2>
          <a:srgbClr val="8DC6FF"/>
        </a:accent2>
        <a:accent3>
          <a:srgbClr val="ECFAF7"/>
        </a:accent3>
        <a:accent4>
          <a:srgbClr val="000000"/>
        </a:accent4>
        <a:accent5>
          <a:srgbClr val="FFFFFF"/>
        </a:accent5>
        <a:accent6>
          <a:srgbClr val="7FB3E7"/>
        </a:accent6>
        <a:hlink>
          <a:srgbClr val="0066CC"/>
        </a:hlink>
        <a:folHlink>
          <a:srgbClr val="00A800"/>
        </a:folHlink>
      </a:clrScheme>
      <a:clrMap bg1="lt1" tx1="dk1" bg2="lt2" tx2="dk2" accent1="accent1" accent2="accent2" accent3="accent3" accent4="accent4" accent5="accent5" accent6="accent6" hlink="hlink" folHlink="folHlink"/>
    </a:extraClrScheme>
    <a:extraClrScheme>
      <a:clrScheme name="blank 5">
        <a:dk1>
          <a:srgbClr val="000000"/>
        </a:dk1>
        <a:lt1>
          <a:srgbClr val="FFFFD9"/>
        </a:lt1>
        <a:dk2>
          <a:srgbClr val="000000"/>
        </a:dk2>
        <a:lt2>
          <a:srgbClr val="777777"/>
        </a:lt2>
        <a:accent1>
          <a:srgbClr val="FFFFF7"/>
        </a:accent1>
        <a:accent2>
          <a:srgbClr val="33CCCC"/>
        </a:accent2>
        <a:accent3>
          <a:srgbClr val="FFFFE9"/>
        </a:accent3>
        <a:accent4>
          <a:srgbClr val="000000"/>
        </a:accent4>
        <a:accent5>
          <a:srgbClr val="FFFFFA"/>
        </a:accent5>
        <a:accent6>
          <a:srgbClr val="2DB9B9"/>
        </a:accent6>
        <a:hlink>
          <a:srgbClr val="FF5050"/>
        </a:hlink>
        <a:folHlink>
          <a:srgbClr val="FF9900"/>
        </a:folHlink>
      </a:clrScheme>
      <a:clrMap bg1="lt1" tx1="dk1" bg2="lt2" tx2="dk2" accent1="accent1" accent2="accent2" accent3="accent3" accent4="accent4" accent5="accent5" accent6="accent6" hlink="hlink" folHlink="folHlink"/>
    </a:extraClrScheme>
    <a:extraClrScheme>
      <a:clrScheme name="blank 6">
        <a:dk1>
          <a:srgbClr val="005A58"/>
        </a:dk1>
        <a:lt1>
          <a:srgbClr val="FFFFFF"/>
        </a:lt1>
        <a:dk2>
          <a:srgbClr val="008080"/>
        </a:dk2>
        <a:lt2>
          <a:srgbClr val="FFFF99"/>
        </a:lt2>
        <a:accent1>
          <a:srgbClr val="006462"/>
        </a:accent1>
        <a:accent2>
          <a:srgbClr val="6D6FC7"/>
        </a:accent2>
        <a:accent3>
          <a:srgbClr val="AAC0C0"/>
        </a:accent3>
        <a:accent4>
          <a:srgbClr val="DADADA"/>
        </a:accent4>
        <a:accent5>
          <a:srgbClr val="AAB8B7"/>
        </a:accent5>
        <a:accent6>
          <a:srgbClr val="6264B4"/>
        </a:accent6>
        <a:hlink>
          <a:srgbClr val="00FFFF"/>
        </a:hlink>
        <a:folHlink>
          <a:srgbClr val="00FF00"/>
        </a:folHlink>
      </a:clrScheme>
      <a:clrMap bg1="dk2" tx1="lt1" bg2="dk1" tx2="lt2" accent1="accent1" accent2="accent2" accent3="accent3" accent4="accent4" accent5="accent5" accent6="accent6" hlink="hlink" folHlink="folHlink"/>
    </a:extraClrScheme>
    <a:extraClrScheme>
      <a:clrScheme name="blank 7">
        <a:dk1>
          <a:srgbClr val="5C1F00"/>
        </a:dk1>
        <a:lt1>
          <a:srgbClr val="FFFFFF"/>
        </a:lt1>
        <a:dk2>
          <a:srgbClr val="800000"/>
        </a:dk2>
        <a:lt2>
          <a:srgbClr val="DFD293"/>
        </a:lt2>
        <a:accent1>
          <a:srgbClr val="713E39"/>
        </a:accent1>
        <a:accent2>
          <a:srgbClr val="BE7960"/>
        </a:accent2>
        <a:accent3>
          <a:srgbClr val="C0AAAA"/>
        </a:accent3>
        <a:accent4>
          <a:srgbClr val="DADADA"/>
        </a:accent4>
        <a:accent5>
          <a:srgbClr val="BBAFAE"/>
        </a:accent5>
        <a:accent6>
          <a:srgbClr val="AC6D56"/>
        </a:accent6>
        <a:hlink>
          <a:srgbClr val="FFFF99"/>
        </a:hlink>
        <a:folHlink>
          <a:srgbClr val="D3A219"/>
        </a:folHlink>
      </a:clrScheme>
      <a:clrMap bg1="dk2" tx1="lt1" bg2="dk1" tx2="lt2" accent1="accent1" accent2="accent2" accent3="accent3" accent4="accent4" accent5="accent5" accent6="accent6" hlink="hlink" folHlink="folHlink"/>
    </a:extraClrScheme>
    <a:extraClrScheme>
      <a:clrScheme name="blank 8">
        <a:dk1>
          <a:srgbClr val="003366"/>
        </a:dk1>
        <a:lt1>
          <a:srgbClr val="FFFFFF"/>
        </a:lt1>
        <a:dk2>
          <a:srgbClr val="000099"/>
        </a:dk2>
        <a:lt2>
          <a:srgbClr val="CCFFFF"/>
        </a:lt2>
        <a:accent1>
          <a:srgbClr val="3366CC"/>
        </a:accent1>
        <a:accent2>
          <a:srgbClr val="00B000"/>
        </a:accent2>
        <a:accent3>
          <a:srgbClr val="AAAACA"/>
        </a:accent3>
        <a:accent4>
          <a:srgbClr val="DADADA"/>
        </a:accent4>
        <a:accent5>
          <a:srgbClr val="ADB8E2"/>
        </a:accent5>
        <a:accent6>
          <a:srgbClr val="009F00"/>
        </a:accent6>
        <a:hlink>
          <a:srgbClr val="66CCFF"/>
        </a:hlink>
        <a:folHlink>
          <a:srgbClr val="FFE701"/>
        </a:folHlink>
      </a:clrScheme>
      <a:clrMap bg1="dk2" tx1="lt1" bg2="dk1" tx2="lt2" accent1="accent1" accent2="accent2" accent3="accent3" accent4="accent4" accent5="accent5" accent6="accent6" hlink="hlink" folHlink="folHlink"/>
    </a:extraClrScheme>
    <a:extraClrScheme>
      <a:clrScheme name="blank 9">
        <a:dk1>
          <a:srgbClr val="336699"/>
        </a:dk1>
        <a:lt1>
          <a:srgbClr val="FFFFFF"/>
        </a:lt1>
        <a:dk2>
          <a:srgbClr val="000000"/>
        </a:dk2>
        <a:lt2>
          <a:srgbClr val="E3EBF1"/>
        </a:lt2>
        <a:accent1>
          <a:srgbClr val="003399"/>
        </a:accent1>
        <a:accent2>
          <a:srgbClr val="468A4B"/>
        </a:accent2>
        <a:accent3>
          <a:srgbClr val="AAAAAA"/>
        </a:accent3>
        <a:accent4>
          <a:srgbClr val="DADADA"/>
        </a:accent4>
        <a:accent5>
          <a:srgbClr val="AAADCA"/>
        </a:accent5>
        <a:accent6>
          <a:srgbClr val="3F7D43"/>
        </a:accent6>
        <a:hlink>
          <a:srgbClr val="66CCFF"/>
        </a:hlink>
        <a:folHlink>
          <a:srgbClr val="F0E500"/>
        </a:folHlink>
      </a:clrScheme>
      <a:clrMap bg1="dk2" tx1="lt1" bg2="dk1" tx2="lt2" accent1="accent1" accent2="accent2" accent3="accent3" accent4="accent4" accent5="accent5" accent6="accent6" hlink="hlink" folHlink="folHlink"/>
    </a:extraClrScheme>
    <a:extraClrScheme>
      <a:clrScheme name="blank 10">
        <a:dk1>
          <a:srgbClr val="777777"/>
        </a:dk1>
        <a:lt1>
          <a:srgbClr val="FFFFFF"/>
        </a:lt1>
        <a:dk2>
          <a:srgbClr val="686B5D"/>
        </a:dk2>
        <a:lt2>
          <a:srgbClr val="D1D1CB"/>
        </a:lt2>
        <a:accent1>
          <a:srgbClr val="909082"/>
        </a:accent1>
        <a:accent2>
          <a:srgbClr val="809EA8"/>
        </a:accent2>
        <a:accent3>
          <a:srgbClr val="B9BAB6"/>
        </a:accent3>
        <a:accent4>
          <a:srgbClr val="DADADA"/>
        </a:accent4>
        <a:accent5>
          <a:srgbClr val="C6C6C1"/>
        </a:accent5>
        <a:accent6>
          <a:srgbClr val="738F98"/>
        </a:accent6>
        <a:hlink>
          <a:srgbClr val="FFCC66"/>
        </a:hlink>
        <a:folHlink>
          <a:srgbClr val="E9DCB9"/>
        </a:folHlink>
      </a:clrScheme>
      <a:clrMap bg1="dk2" tx1="lt1" bg2="dk1" tx2="lt2" accent1="accent1" accent2="accent2" accent3="accent3" accent4="accent4" accent5="accent5" accent6="accent6" hlink="hlink" folHlink="folHlink"/>
    </a:extraClrScheme>
    <a:extraClrScheme>
      <a:clrScheme name="blank 11">
        <a:dk1>
          <a:srgbClr val="3E3E5C"/>
        </a:dk1>
        <a:lt1>
          <a:srgbClr val="FFFFFF"/>
        </a:lt1>
        <a:dk2>
          <a:srgbClr val="666699"/>
        </a:dk2>
        <a:lt2>
          <a:srgbClr val="FFFFFF"/>
        </a:lt2>
        <a:accent1>
          <a:srgbClr val="60597B"/>
        </a:accent1>
        <a:accent2>
          <a:srgbClr val="6666FF"/>
        </a:accent2>
        <a:accent3>
          <a:srgbClr val="B8B8CA"/>
        </a:accent3>
        <a:accent4>
          <a:srgbClr val="DADADA"/>
        </a:accent4>
        <a:accent5>
          <a:srgbClr val="B6B5BF"/>
        </a:accent5>
        <a:accent6>
          <a:srgbClr val="5C5CE7"/>
        </a:accent6>
        <a:hlink>
          <a:srgbClr val="99CCFF"/>
        </a:hlink>
        <a:folHlink>
          <a:srgbClr val="FFFF99"/>
        </a:folHlink>
      </a:clrScheme>
      <a:clrMap bg1="dk2" tx1="lt1" bg2="dk1" tx2="lt2" accent1="accent1" accent2="accent2" accent3="accent3" accent4="accent4" accent5="accent5" accent6="accent6" hlink="hlink" folHlink="folHlink"/>
    </a:extraClrScheme>
    <a:extraClrScheme>
      <a:clrScheme name="blank 12">
        <a:dk1>
          <a:srgbClr val="2D2015"/>
        </a:dk1>
        <a:lt1>
          <a:srgbClr val="FFFFFF"/>
        </a:lt1>
        <a:dk2>
          <a:srgbClr val="523E26"/>
        </a:dk2>
        <a:lt2>
          <a:srgbClr val="DFC08D"/>
        </a:lt2>
        <a:accent1>
          <a:srgbClr val="8C7B70"/>
        </a:accent1>
        <a:accent2>
          <a:srgbClr val="8F5F2F"/>
        </a:accent2>
        <a:accent3>
          <a:srgbClr val="B3AFAC"/>
        </a:accent3>
        <a:accent4>
          <a:srgbClr val="DADADA"/>
        </a:accent4>
        <a:accent5>
          <a:srgbClr val="C5BFBB"/>
        </a:accent5>
        <a:accent6>
          <a:srgbClr val="81552A"/>
        </a:accent6>
        <a:hlink>
          <a:srgbClr val="CCB400"/>
        </a:hlink>
        <a:folHlink>
          <a:srgbClr val="8C9EA0"/>
        </a:folHlink>
      </a:clrScheme>
      <a:clrMap bg1="dk2" tx1="lt1" bg2="dk1" tx2="lt2" accent1="accent1" accent2="accent2" accent3="accent3" accent4="accent4" accent5="accent5" accent6="accent6" hlink="hlink" folHlink="folHlink"/>
    </a:extraClrScheme>
    <a:extraClrScheme>
      <a:clrScheme name="blank 13">
        <a:dk1>
          <a:srgbClr val="000000"/>
        </a:dk1>
        <a:lt1>
          <a:srgbClr val="FFFFFF"/>
        </a:lt1>
        <a:dk2>
          <a:srgbClr val="0013C5"/>
        </a:dk2>
        <a:lt2>
          <a:srgbClr val="B2B2B2"/>
        </a:lt2>
        <a:accent1>
          <a:srgbClr val="B04359"/>
        </a:accent1>
        <a:accent2>
          <a:srgbClr val="006699"/>
        </a:accent2>
        <a:accent3>
          <a:srgbClr val="FFFFFF"/>
        </a:accent3>
        <a:accent4>
          <a:srgbClr val="000000"/>
        </a:accent4>
        <a:accent5>
          <a:srgbClr val="D4B0B5"/>
        </a:accent5>
        <a:accent6>
          <a:srgbClr val="005C8A"/>
        </a:accent6>
        <a:hlink>
          <a:srgbClr val="FFA432"/>
        </a:hlink>
        <a:folHlink>
          <a:srgbClr val="4FE37C"/>
        </a:folHlink>
      </a:clrScheme>
      <a:clrMap bg1="lt1" tx1="dk1" bg2="lt2" tx2="dk2" accent1="accent1" accent2="accent2" accent3="accent3" accent4="accent4" accent5="accent5" accent6="accent6" hlink="hlink" folHlink="folHlink"/>
    </a:extraClrScheme>
    <a:extraClrScheme>
      <a:clrScheme name="blank 14">
        <a:dk1>
          <a:srgbClr val="000000"/>
        </a:dk1>
        <a:lt1>
          <a:srgbClr val="FFFFFF"/>
        </a:lt1>
        <a:dk2>
          <a:srgbClr val="0013C5"/>
        </a:dk2>
        <a:lt2>
          <a:srgbClr val="B2B2B2"/>
        </a:lt2>
        <a:accent1>
          <a:srgbClr val="A50021"/>
        </a:accent1>
        <a:accent2>
          <a:srgbClr val="006699"/>
        </a:accent2>
        <a:accent3>
          <a:srgbClr val="FFFFFF"/>
        </a:accent3>
        <a:accent4>
          <a:srgbClr val="000000"/>
        </a:accent4>
        <a:accent5>
          <a:srgbClr val="CFAAAB"/>
        </a:accent5>
        <a:accent6>
          <a:srgbClr val="005C8A"/>
        </a:accent6>
        <a:hlink>
          <a:srgbClr val="FFA432"/>
        </a:hlink>
        <a:folHlink>
          <a:srgbClr val="4FE37C"/>
        </a:folHlink>
      </a:clrScheme>
      <a:clrMap bg1="lt1" tx1="dk1" bg2="lt2" tx2="dk2" accent1="accent1" accent2="accent2" accent3="accent3" accent4="accent4" accent5="accent5" accent6="accent6" hlink="hlink" folHlink="folHlink"/>
    </a:extraClrScheme>
    <a:extraClrScheme>
      <a:clrScheme name="blank 15">
        <a:dk1>
          <a:srgbClr val="000000"/>
        </a:dk1>
        <a:lt1>
          <a:srgbClr val="FFFFFF"/>
        </a:lt1>
        <a:dk2>
          <a:srgbClr val="0013C5"/>
        </a:dk2>
        <a:lt2>
          <a:srgbClr val="B2B2B2"/>
        </a:lt2>
        <a:accent1>
          <a:srgbClr val="A50021"/>
        </a:accent1>
        <a:accent2>
          <a:srgbClr val="006699"/>
        </a:accent2>
        <a:accent3>
          <a:srgbClr val="FFFFFF"/>
        </a:accent3>
        <a:accent4>
          <a:srgbClr val="000000"/>
        </a:accent4>
        <a:accent5>
          <a:srgbClr val="CFAAAB"/>
        </a:accent5>
        <a:accent6>
          <a:srgbClr val="005C8A"/>
        </a:accent6>
        <a:hlink>
          <a:srgbClr val="FF9933"/>
        </a:hlink>
        <a:folHlink>
          <a:srgbClr val="4FE37C"/>
        </a:folHlink>
      </a:clrScheme>
      <a:clrMap bg1="lt1" tx1="dk1" bg2="lt2" tx2="dk2" accent1="accent1" accent2="accent2" accent3="accent3" accent4="accent4" accent5="accent5" accent6="accent6" hlink="hlink" folHlink="folHlink"/>
    </a:extraClrScheme>
    <a:extraClrScheme>
      <a:clrScheme name="blank 16">
        <a:dk1>
          <a:srgbClr val="000000"/>
        </a:dk1>
        <a:lt1>
          <a:srgbClr val="FFFFFF"/>
        </a:lt1>
        <a:dk2>
          <a:srgbClr val="0013C5"/>
        </a:dk2>
        <a:lt2>
          <a:srgbClr val="B2B2B2"/>
        </a:lt2>
        <a:accent1>
          <a:srgbClr val="A50021"/>
        </a:accent1>
        <a:accent2>
          <a:srgbClr val="006699"/>
        </a:accent2>
        <a:accent3>
          <a:srgbClr val="FFFFFF"/>
        </a:accent3>
        <a:accent4>
          <a:srgbClr val="000000"/>
        </a:accent4>
        <a:accent5>
          <a:srgbClr val="CFAAAB"/>
        </a:accent5>
        <a:accent6>
          <a:srgbClr val="005C8A"/>
        </a:accent6>
        <a:hlink>
          <a:srgbClr val="FF9933"/>
        </a:hlink>
        <a:folHlink>
          <a:srgbClr val="33CC33"/>
        </a:folHlink>
      </a:clrScheme>
      <a:clrMap bg1="lt1" tx1="dk1" bg2="lt2" tx2="dk2" accent1="accent1" accent2="accent2" accent3="accent3" accent4="accent4" accent5="accent5" accent6="accent6" hlink="hlink" folHlink="folHlink"/>
    </a:extraClrScheme>
  </a:extraClrSchemeLst>
  <a:extLst>
    <a:ext uri="{05A4C25C-085E-4340-85A3-A5531E510DB2}">
      <thm15:themeFamily xmlns:thm15="http://schemas.microsoft.com/office/thememl/2012/main" name="TL 2022 PPTX" id="{63E4D6DB-932F-4256-8D50-A4BAB1F6D9FD}" vid="{12AFF8C7-4F57-4DA0-A848-B2D3F7893CE1}"/>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87F46-4C73-49A7-B8A1-A33E79A14293}">
  <sheetPr codeName="Sheet2"/>
  <dimension ref="A1:BJ2234"/>
  <sheetViews>
    <sheetView showGridLines="0" tabSelected="1" zoomScale="115" zoomScaleNormal="115" workbookViewId="0">
      <selection activeCell="E8" sqref="E8"/>
    </sheetView>
  </sheetViews>
  <sheetFormatPr defaultRowHeight="14.25" x14ac:dyDescent="0.2"/>
  <cols>
    <col min="2" max="2" width="35.75" customWidth="1"/>
    <col min="3" max="3" width="48.875" customWidth="1"/>
    <col min="4" max="4" width="60.625" customWidth="1"/>
    <col min="12" max="12" width="10.75" hidden="1" customWidth="1"/>
    <col min="13" max="16" width="0" hidden="1" customWidth="1"/>
    <col min="17" max="19" width="9" hidden="1" customWidth="1"/>
    <col min="20" max="20" width="46.875" hidden="1" customWidth="1"/>
    <col min="21" max="22" width="11.875" hidden="1" customWidth="1"/>
    <col min="23" max="23" width="12.25" hidden="1" customWidth="1"/>
    <col min="24" max="62" width="0" hidden="1" customWidth="1"/>
  </cols>
  <sheetData>
    <row r="1" spans="1:22" ht="14.25" customHeight="1" x14ac:dyDescent="0.2">
      <c r="C1" s="35" t="s">
        <v>36</v>
      </c>
      <c r="D1" s="34" t="s">
        <v>31</v>
      </c>
      <c r="E1" s="34"/>
      <c r="F1" s="34"/>
      <c r="G1" s="34"/>
      <c r="H1" s="34"/>
    </row>
    <row r="2" spans="1:22" x14ac:dyDescent="0.2">
      <c r="C2" s="35"/>
      <c r="D2" s="34"/>
      <c r="E2" s="34"/>
      <c r="F2" s="34"/>
      <c r="G2" s="34"/>
      <c r="H2" s="34"/>
    </row>
    <row r="3" spans="1:22" x14ac:dyDescent="0.2">
      <c r="C3" s="35"/>
      <c r="D3" s="34"/>
      <c r="E3" s="34"/>
      <c r="F3" s="34"/>
      <c r="G3" s="34"/>
      <c r="H3" s="34"/>
    </row>
    <row r="4" spans="1:22" x14ac:dyDescent="0.2">
      <c r="C4" s="35"/>
      <c r="D4" s="34"/>
      <c r="E4" s="34"/>
      <c r="F4" s="34"/>
      <c r="G4" s="34"/>
      <c r="H4" s="34"/>
    </row>
    <row r="5" spans="1:22" x14ac:dyDescent="0.2">
      <c r="C5" s="35"/>
      <c r="D5" s="34"/>
      <c r="E5" s="34"/>
      <c r="F5" s="34"/>
      <c r="G5" s="34"/>
      <c r="H5" s="34"/>
    </row>
    <row r="6" spans="1:22" x14ac:dyDescent="0.2">
      <c r="C6" s="35"/>
      <c r="D6" s="34"/>
      <c r="E6" s="34"/>
      <c r="F6" s="34"/>
      <c r="G6" s="34"/>
      <c r="H6" s="34"/>
      <c r="Q6" s="33" t="s">
        <v>3</v>
      </c>
      <c r="R6" s="33"/>
      <c r="S6" s="33"/>
      <c r="T6" s="1" t="s">
        <v>6</v>
      </c>
      <c r="U6" t="s">
        <v>0</v>
      </c>
      <c r="V6">
        <f>E8/(E8+E9)</f>
        <v>0.2</v>
      </c>
    </row>
    <row r="7" spans="1:22" ht="15" thickBot="1" x14ac:dyDescent="0.25">
      <c r="Q7" s="33"/>
      <c r="R7" s="33"/>
      <c r="S7" s="33"/>
      <c r="T7" s="1" t="s">
        <v>2</v>
      </c>
      <c r="U7" t="s">
        <v>1</v>
      </c>
      <c r="V7">
        <f>E8+E9+1/(V6*(1-V6))</f>
        <v>256.25</v>
      </c>
    </row>
    <row r="8" spans="1:22" x14ac:dyDescent="0.2">
      <c r="A8" s="26" t="s">
        <v>32</v>
      </c>
      <c r="B8" s="27"/>
      <c r="C8" s="30" t="s">
        <v>11</v>
      </c>
      <c r="D8" s="9" t="s">
        <v>7</v>
      </c>
      <c r="E8" s="21">
        <v>50</v>
      </c>
      <c r="F8" s="10"/>
      <c r="T8" t="s">
        <v>4</v>
      </c>
      <c r="U8" s="5">
        <f>E11</f>
        <v>9.5129375951293768E-6</v>
      </c>
      <c r="V8" s="2"/>
    </row>
    <row r="9" spans="1:22" x14ac:dyDescent="0.2">
      <c r="A9" s="26"/>
      <c r="B9" s="27"/>
      <c r="C9" s="31"/>
      <c r="D9" t="s">
        <v>10</v>
      </c>
      <c r="E9" s="22">
        <v>200</v>
      </c>
      <c r="F9" s="11"/>
      <c r="T9" t="s">
        <v>5</v>
      </c>
      <c r="U9" s="2">
        <f>1-U8</f>
        <v>0.9999904870624049</v>
      </c>
    </row>
    <row r="10" spans="1:22" ht="15" thickBot="1" x14ac:dyDescent="0.25">
      <c r="A10" s="26"/>
      <c r="B10" s="27"/>
      <c r="C10" s="32"/>
      <c r="D10" s="12" t="s">
        <v>8</v>
      </c>
      <c r="E10" s="23">
        <v>5</v>
      </c>
      <c r="F10" s="13" t="s">
        <v>9</v>
      </c>
    </row>
    <row r="11" spans="1:22" x14ac:dyDescent="0.2">
      <c r="A11" s="28" t="s">
        <v>33</v>
      </c>
      <c r="B11" s="29"/>
      <c r="C11" s="30" t="s">
        <v>12</v>
      </c>
      <c r="D11" s="9" t="s">
        <v>17</v>
      </c>
      <c r="E11" s="24">
        <v>9.5129375951293768E-6</v>
      </c>
      <c r="F11" s="10"/>
    </row>
    <row r="12" spans="1:22" ht="15" thickBot="1" x14ac:dyDescent="0.25">
      <c r="A12" s="28"/>
      <c r="B12" s="29"/>
      <c r="C12" s="32"/>
      <c r="D12" s="12" t="s">
        <v>16</v>
      </c>
      <c r="E12" s="25">
        <v>0.1</v>
      </c>
      <c r="F12" s="14"/>
    </row>
    <row r="13" spans="1:22" ht="15" x14ac:dyDescent="0.25">
      <c r="A13" s="26" t="s">
        <v>34</v>
      </c>
      <c r="B13" s="27"/>
      <c r="C13" s="30" t="s">
        <v>13</v>
      </c>
      <c r="D13" s="15" t="s">
        <v>14</v>
      </c>
      <c r="E13" s="21">
        <v>1</v>
      </c>
      <c r="F13" s="10"/>
    </row>
    <row r="14" spans="1:22" ht="15.75" thickBot="1" x14ac:dyDescent="0.3">
      <c r="A14" s="26"/>
      <c r="B14" s="27"/>
      <c r="C14" s="32"/>
      <c r="D14" s="16" t="s">
        <v>15</v>
      </c>
      <c r="E14" s="23">
        <v>1</v>
      </c>
      <c r="F14" s="14"/>
    </row>
    <row r="15" spans="1:22" x14ac:dyDescent="0.2">
      <c r="A15" s="26" t="s">
        <v>35</v>
      </c>
      <c r="B15" s="27"/>
      <c r="C15" s="30" t="s">
        <v>25</v>
      </c>
      <c r="D15" s="9" t="s">
        <v>29</v>
      </c>
      <c r="E15" s="17" cm="1">
        <f t="array" ref="E15">BETAFUNC(E8+E13,E9+E14)/BETAFUNC(E8,E9)</f>
        <v>0.15936254980078715</v>
      </c>
      <c r="F15" s="10"/>
    </row>
    <row r="16" spans="1:22" x14ac:dyDescent="0.2">
      <c r="A16" s="26"/>
      <c r="B16" s="27"/>
      <c r="C16" s="31"/>
      <c r="D16" t="s">
        <v>28</v>
      </c>
      <c r="E16" s="18" cm="1">
        <f t="array" ref="E16">BetaExpectation(E13,E14,E8,E9)</f>
        <v>0.18645418326693383</v>
      </c>
      <c r="F16" s="11"/>
    </row>
    <row r="17" spans="1:62" x14ac:dyDescent="0.2">
      <c r="A17" s="26"/>
      <c r="B17" s="27"/>
      <c r="C17" s="31"/>
      <c r="D17" t="s">
        <v>26</v>
      </c>
      <c r="E17" s="19">
        <f>(E16*U8)/(E16*U8+E15*U9)</f>
        <v>1.1130118986680489E-5</v>
      </c>
      <c r="F17" s="11"/>
    </row>
    <row r="18" spans="1:62" ht="15" thickBot="1" x14ac:dyDescent="0.25">
      <c r="A18" s="26"/>
      <c r="B18" s="27"/>
      <c r="C18" s="32"/>
      <c r="D18" s="12" t="s">
        <v>27</v>
      </c>
      <c r="E18" s="20">
        <f>1-E17</f>
        <v>0.99998886988101332</v>
      </c>
      <c r="F18" s="14"/>
    </row>
    <row r="21" spans="1:62" ht="15" x14ac:dyDescent="0.25">
      <c r="D21" s="3" t="s">
        <v>30</v>
      </c>
    </row>
    <row r="22" spans="1:62" x14ac:dyDescent="0.2">
      <c r="D22" t="str" cm="1">
        <f t="array" ref="D22:D59">_xlfn._xlws.FILTER(TRANSPOSE(M82:BJ82), TRANSPOSE(M82:BJ82) &lt;&gt; "")</f>
        <v>13 out of 14</v>
      </c>
    </row>
    <row r="23" spans="1:62" x14ac:dyDescent="0.2">
      <c r="D23" t="str">
        <v>14 out of 16</v>
      </c>
    </row>
    <row r="24" spans="1:62" x14ac:dyDescent="0.2">
      <c r="D24" t="str">
        <v>15 out of 18</v>
      </c>
      <c r="M24" t="s">
        <v>18</v>
      </c>
    </row>
    <row r="25" spans="1:62" x14ac:dyDescent="0.2">
      <c r="D25" t="str">
        <v>16 out of 20</v>
      </c>
      <c r="L25" s="6">
        <f>IF(E18&gt;E12,0,1)</f>
        <v>0</v>
      </c>
      <c r="M25">
        <v>1</v>
      </c>
      <c r="N25">
        <v>2</v>
      </c>
      <c r="O25">
        <v>3</v>
      </c>
      <c r="P25">
        <v>4</v>
      </c>
      <c r="Q25">
        <v>5</v>
      </c>
      <c r="R25">
        <v>6</v>
      </c>
      <c r="S25">
        <v>7</v>
      </c>
      <c r="T25">
        <v>8</v>
      </c>
      <c r="U25">
        <v>9</v>
      </c>
      <c r="V25">
        <v>10</v>
      </c>
      <c r="W25">
        <v>11</v>
      </c>
      <c r="X25">
        <v>12</v>
      </c>
      <c r="Y25">
        <v>13</v>
      </c>
      <c r="Z25">
        <v>14</v>
      </c>
      <c r="AA25">
        <v>15</v>
      </c>
      <c r="AB25">
        <v>16</v>
      </c>
      <c r="AC25">
        <v>17</v>
      </c>
      <c r="AD25">
        <v>18</v>
      </c>
      <c r="AE25">
        <v>19</v>
      </c>
      <c r="AF25">
        <v>20</v>
      </c>
      <c r="AG25">
        <v>21</v>
      </c>
      <c r="AH25">
        <v>22</v>
      </c>
      <c r="AI25">
        <v>23</v>
      </c>
      <c r="AJ25">
        <v>24</v>
      </c>
      <c r="AK25">
        <v>25</v>
      </c>
      <c r="AL25">
        <v>26</v>
      </c>
      <c r="AM25">
        <v>27</v>
      </c>
      <c r="AN25">
        <v>28</v>
      </c>
      <c r="AO25">
        <v>29</v>
      </c>
      <c r="AP25">
        <v>30</v>
      </c>
      <c r="AQ25">
        <v>31</v>
      </c>
      <c r="AR25">
        <v>32</v>
      </c>
      <c r="AS25">
        <v>33</v>
      </c>
      <c r="AT25">
        <v>34</v>
      </c>
      <c r="AU25">
        <v>35</v>
      </c>
      <c r="AV25">
        <v>36</v>
      </c>
      <c r="AW25">
        <v>37</v>
      </c>
      <c r="AX25">
        <v>38</v>
      </c>
      <c r="AY25">
        <v>39</v>
      </c>
      <c r="AZ25">
        <v>40</v>
      </c>
      <c r="BA25">
        <v>41</v>
      </c>
      <c r="BB25">
        <v>42</v>
      </c>
      <c r="BC25">
        <v>43</v>
      </c>
      <c r="BD25">
        <v>44</v>
      </c>
      <c r="BE25">
        <v>45</v>
      </c>
      <c r="BF25">
        <v>46</v>
      </c>
      <c r="BG25">
        <v>47</v>
      </c>
      <c r="BH25">
        <v>48</v>
      </c>
      <c r="BI25">
        <v>49</v>
      </c>
      <c r="BJ25">
        <v>50</v>
      </c>
    </row>
    <row r="26" spans="1:62" x14ac:dyDescent="0.2">
      <c r="D26" t="str">
        <v>17 out of 22</v>
      </c>
      <c r="L26">
        <v>1</v>
      </c>
      <c r="M26" s="7">
        <f t="dataTable" ref="M26:BJ75" dt2D="1" dtr="1" r1="E13" r2="E14"/>
        <v>0</v>
      </c>
      <c r="N26" s="7">
        <v>0</v>
      </c>
      <c r="O26" s="7">
        <v>0</v>
      </c>
      <c r="P26" s="7">
        <v>0</v>
      </c>
      <c r="Q26" s="8">
        <v>0</v>
      </c>
      <c r="R26" s="8">
        <v>0</v>
      </c>
      <c r="S26" s="8">
        <v>0</v>
      </c>
      <c r="T26" s="8">
        <v>0</v>
      </c>
      <c r="U26" s="7">
        <v>0</v>
      </c>
      <c r="V26" s="7">
        <v>0</v>
      </c>
      <c r="W26" s="7">
        <v>0</v>
      </c>
      <c r="X26" s="7">
        <v>0</v>
      </c>
      <c r="Y26" s="7">
        <v>1</v>
      </c>
      <c r="Z26" s="7">
        <v>1</v>
      </c>
      <c r="AA26" s="7">
        <v>1</v>
      </c>
      <c r="AB26" s="7">
        <v>1</v>
      </c>
      <c r="AC26" s="7">
        <v>1</v>
      </c>
      <c r="AD26" s="7">
        <v>1</v>
      </c>
      <c r="AE26" s="7">
        <v>1</v>
      </c>
      <c r="AF26" s="7">
        <v>1</v>
      </c>
      <c r="AG26" s="7">
        <v>1</v>
      </c>
      <c r="AH26" s="7">
        <v>1</v>
      </c>
      <c r="AI26" s="7">
        <v>1</v>
      </c>
      <c r="AJ26" s="7">
        <v>1</v>
      </c>
      <c r="AK26" s="7">
        <v>1</v>
      </c>
      <c r="AL26" s="7">
        <v>1</v>
      </c>
      <c r="AM26" s="7">
        <v>1</v>
      </c>
      <c r="AN26" s="7">
        <v>1</v>
      </c>
      <c r="AO26" s="7">
        <v>1</v>
      </c>
      <c r="AP26" s="7">
        <v>1</v>
      </c>
      <c r="AQ26" s="7">
        <v>1</v>
      </c>
      <c r="AR26" s="7">
        <v>1</v>
      </c>
      <c r="AS26" s="7">
        <v>1</v>
      </c>
      <c r="AT26" s="7">
        <v>1</v>
      </c>
      <c r="AU26" s="7">
        <v>1</v>
      </c>
      <c r="AV26" s="7">
        <v>1</v>
      </c>
      <c r="AW26" s="7">
        <v>1</v>
      </c>
      <c r="AX26" s="7">
        <v>1</v>
      </c>
      <c r="AY26" s="7">
        <v>1</v>
      </c>
      <c r="AZ26" s="7">
        <v>1</v>
      </c>
      <c r="BA26" s="7">
        <v>1</v>
      </c>
      <c r="BB26" s="7">
        <v>1</v>
      </c>
      <c r="BC26" s="7">
        <v>1</v>
      </c>
      <c r="BD26" s="7">
        <v>1</v>
      </c>
      <c r="BE26" s="7">
        <v>1</v>
      </c>
      <c r="BF26" s="7">
        <v>1</v>
      </c>
      <c r="BG26" s="7">
        <v>1</v>
      </c>
      <c r="BH26" s="7">
        <v>1</v>
      </c>
      <c r="BI26" s="7">
        <v>1</v>
      </c>
      <c r="BJ26" s="7">
        <v>1</v>
      </c>
    </row>
    <row r="27" spans="1:62" x14ac:dyDescent="0.2">
      <c r="D27" t="str">
        <v>18 out of 23</v>
      </c>
      <c r="L27">
        <v>2</v>
      </c>
      <c r="M27" s="7">
        <v>0</v>
      </c>
      <c r="N27" s="7">
        <v>0</v>
      </c>
      <c r="O27" s="7">
        <v>0</v>
      </c>
      <c r="P27" s="7">
        <v>0</v>
      </c>
      <c r="Q27" s="8">
        <v>0</v>
      </c>
      <c r="R27" s="8">
        <v>0</v>
      </c>
      <c r="S27" s="8">
        <v>0</v>
      </c>
      <c r="T27" s="8">
        <v>0</v>
      </c>
      <c r="U27" s="7">
        <v>0</v>
      </c>
      <c r="V27" s="7">
        <v>0</v>
      </c>
      <c r="W27" s="7">
        <v>0</v>
      </c>
      <c r="X27" s="7">
        <v>0</v>
      </c>
      <c r="Y27" s="7">
        <v>0</v>
      </c>
      <c r="Z27" s="7">
        <v>1</v>
      </c>
      <c r="AA27" s="7">
        <v>1</v>
      </c>
      <c r="AB27" s="7">
        <v>1</v>
      </c>
      <c r="AC27" s="7">
        <v>1</v>
      </c>
      <c r="AD27" s="7">
        <v>1</v>
      </c>
      <c r="AE27" s="7">
        <v>1</v>
      </c>
      <c r="AF27" s="7">
        <v>1</v>
      </c>
      <c r="AG27" s="7">
        <v>1</v>
      </c>
      <c r="AH27" s="7">
        <v>1</v>
      </c>
      <c r="AI27" s="7">
        <v>1</v>
      </c>
      <c r="AJ27" s="7">
        <v>1</v>
      </c>
      <c r="AK27" s="7">
        <v>1</v>
      </c>
      <c r="AL27" s="7">
        <v>1</v>
      </c>
      <c r="AM27" s="7">
        <v>1</v>
      </c>
      <c r="AN27" s="7">
        <v>1</v>
      </c>
      <c r="AO27" s="7">
        <v>1</v>
      </c>
      <c r="AP27" s="7">
        <v>1</v>
      </c>
      <c r="AQ27" s="7">
        <v>1</v>
      </c>
      <c r="AR27" s="7">
        <v>1</v>
      </c>
      <c r="AS27" s="7">
        <v>1</v>
      </c>
      <c r="AT27" s="7">
        <v>1</v>
      </c>
      <c r="AU27" s="7">
        <v>1</v>
      </c>
      <c r="AV27" s="7">
        <v>1</v>
      </c>
      <c r="AW27" s="7">
        <v>1</v>
      </c>
      <c r="AX27" s="7">
        <v>1</v>
      </c>
      <c r="AY27" s="7">
        <v>1</v>
      </c>
      <c r="AZ27" s="7">
        <v>1</v>
      </c>
      <c r="BA27" s="7">
        <v>1</v>
      </c>
      <c r="BB27" s="7">
        <v>1</v>
      </c>
      <c r="BC27" s="7">
        <v>1</v>
      </c>
      <c r="BD27" s="7">
        <v>1</v>
      </c>
      <c r="BE27" s="7">
        <v>1</v>
      </c>
      <c r="BF27" s="7">
        <v>1</v>
      </c>
      <c r="BG27" s="7">
        <v>1</v>
      </c>
      <c r="BH27" s="7">
        <v>1</v>
      </c>
      <c r="BI27" s="7">
        <v>1</v>
      </c>
      <c r="BJ27" s="7">
        <v>1</v>
      </c>
    </row>
    <row r="28" spans="1:62" x14ac:dyDescent="0.2">
      <c r="D28" t="str">
        <v>19 out of 26</v>
      </c>
      <c r="L28">
        <v>3</v>
      </c>
      <c r="M28" s="8">
        <v>0</v>
      </c>
      <c r="N28" s="8">
        <v>0</v>
      </c>
      <c r="O28" s="8">
        <v>0</v>
      </c>
      <c r="P28" s="8">
        <v>0</v>
      </c>
      <c r="Q28" s="8">
        <v>0</v>
      </c>
      <c r="R28" s="8">
        <v>0</v>
      </c>
      <c r="S28" s="8">
        <v>0</v>
      </c>
      <c r="T28" s="8">
        <v>0</v>
      </c>
      <c r="U28" s="7">
        <v>0</v>
      </c>
      <c r="V28" s="7">
        <v>0</v>
      </c>
      <c r="W28" s="7">
        <v>0</v>
      </c>
      <c r="X28" s="7">
        <v>0</v>
      </c>
      <c r="Y28" s="7">
        <v>0</v>
      </c>
      <c r="Z28" s="7">
        <v>0</v>
      </c>
      <c r="AA28" s="7">
        <v>1</v>
      </c>
      <c r="AB28" s="7">
        <v>1</v>
      </c>
      <c r="AC28" s="7">
        <v>1</v>
      </c>
      <c r="AD28" s="7">
        <v>1</v>
      </c>
      <c r="AE28" s="7">
        <v>1</v>
      </c>
      <c r="AF28" s="7">
        <v>1</v>
      </c>
      <c r="AG28" s="7">
        <v>1</v>
      </c>
      <c r="AH28" s="7">
        <v>1</v>
      </c>
      <c r="AI28" s="7">
        <v>1</v>
      </c>
      <c r="AJ28" s="7">
        <v>1</v>
      </c>
      <c r="AK28" s="7">
        <v>1</v>
      </c>
      <c r="AL28" s="7">
        <v>1</v>
      </c>
      <c r="AM28" s="7">
        <v>1</v>
      </c>
      <c r="AN28" s="7">
        <v>1</v>
      </c>
      <c r="AO28" s="7">
        <v>1</v>
      </c>
      <c r="AP28" s="7">
        <v>1</v>
      </c>
      <c r="AQ28" s="7">
        <v>1</v>
      </c>
      <c r="AR28" s="7">
        <v>1</v>
      </c>
      <c r="AS28" s="7">
        <v>1</v>
      </c>
      <c r="AT28" s="7">
        <v>1</v>
      </c>
      <c r="AU28" s="7">
        <v>1</v>
      </c>
      <c r="AV28" s="7">
        <v>1</v>
      </c>
      <c r="AW28" s="7">
        <v>1</v>
      </c>
      <c r="AX28" s="7">
        <v>1</v>
      </c>
      <c r="AY28" s="7">
        <v>1</v>
      </c>
      <c r="AZ28" s="7">
        <v>1</v>
      </c>
      <c r="BA28" s="7">
        <v>1</v>
      </c>
      <c r="BB28" s="7">
        <v>1</v>
      </c>
      <c r="BC28" s="7">
        <v>1</v>
      </c>
      <c r="BD28" s="7">
        <v>1</v>
      </c>
      <c r="BE28" s="7">
        <v>1</v>
      </c>
      <c r="BF28" s="7">
        <v>1</v>
      </c>
      <c r="BG28" s="7">
        <v>1</v>
      </c>
      <c r="BH28" s="7">
        <v>1</v>
      </c>
      <c r="BI28" s="7">
        <v>1</v>
      </c>
      <c r="BJ28" s="7">
        <v>1</v>
      </c>
    </row>
    <row r="29" spans="1:62" x14ac:dyDescent="0.2">
      <c r="D29" t="str">
        <v>20 out of 28</v>
      </c>
      <c r="L29">
        <v>4</v>
      </c>
      <c r="M29" s="8">
        <v>0</v>
      </c>
      <c r="N29" s="8">
        <v>0</v>
      </c>
      <c r="O29" s="8">
        <v>0</v>
      </c>
      <c r="P29" s="8">
        <v>0</v>
      </c>
      <c r="Q29" s="8">
        <v>0</v>
      </c>
      <c r="R29" s="8">
        <v>0</v>
      </c>
      <c r="S29" s="8">
        <v>0</v>
      </c>
      <c r="T29" s="8">
        <v>0</v>
      </c>
      <c r="U29" s="7">
        <v>0</v>
      </c>
      <c r="V29" s="7">
        <v>0</v>
      </c>
      <c r="W29" s="7">
        <v>0</v>
      </c>
      <c r="X29" s="7">
        <v>0</v>
      </c>
      <c r="Y29" s="7">
        <v>0</v>
      </c>
      <c r="Z29" s="7">
        <v>0</v>
      </c>
      <c r="AA29" s="7">
        <v>0</v>
      </c>
      <c r="AB29" s="7">
        <v>1</v>
      </c>
      <c r="AC29" s="7">
        <v>1</v>
      </c>
      <c r="AD29" s="7">
        <v>1</v>
      </c>
      <c r="AE29" s="7">
        <v>1</v>
      </c>
      <c r="AF29" s="7">
        <v>1</v>
      </c>
      <c r="AG29" s="7">
        <v>1</v>
      </c>
      <c r="AH29" s="7">
        <v>1</v>
      </c>
      <c r="AI29" s="7">
        <v>1</v>
      </c>
      <c r="AJ29" s="7">
        <v>1</v>
      </c>
      <c r="AK29" s="7">
        <v>1</v>
      </c>
      <c r="AL29" s="7">
        <v>1</v>
      </c>
      <c r="AM29" s="7">
        <v>1</v>
      </c>
      <c r="AN29" s="7">
        <v>1</v>
      </c>
      <c r="AO29" s="7">
        <v>1</v>
      </c>
      <c r="AP29" s="7">
        <v>1</v>
      </c>
      <c r="AQ29" s="7">
        <v>1</v>
      </c>
      <c r="AR29" s="7">
        <v>1</v>
      </c>
      <c r="AS29" s="7">
        <v>1</v>
      </c>
      <c r="AT29" s="7">
        <v>1</v>
      </c>
      <c r="AU29" s="7">
        <v>1</v>
      </c>
      <c r="AV29" s="7">
        <v>1</v>
      </c>
      <c r="AW29" s="7">
        <v>1</v>
      </c>
      <c r="AX29" s="7">
        <v>1</v>
      </c>
      <c r="AY29" s="7">
        <v>1</v>
      </c>
      <c r="AZ29" s="7">
        <v>1</v>
      </c>
      <c r="BA29" s="7">
        <v>1</v>
      </c>
      <c r="BB29" s="7">
        <v>1</v>
      </c>
      <c r="BC29" s="7">
        <v>1</v>
      </c>
      <c r="BD29" s="7">
        <v>1</v>
      </c>
      <c r="BE29" s="7">
        <v>1</v>
      </c>
      <c r="BF29" s="7">
        <v>1</v>
      </c>
      <c r="BG29" s="7">
        <v>1</v>
      </c>
      <c r="BH29" s="7">
        <v>1</v>
      </c>
      <c r="BI29" s="7">
        <v>1</v>
      </c>
      <c r="BJ29" s="7">
        <v>1</v>
      </c>
    </row>
    <row r="30" spans="1:62" x14ac:dyDescent="0.2">
      <c r="D30" t="str">
        <v>21 out of 30</v>
      </c>
      <c r="L30">
        <v>5</v>
      </c>
      <c r="M30" s="8">
        <v>0</v>
      </c>
      <c r="N30" s="8">
        <v>0</v>
      </c>
      <c r="O30" s="8">
        <v>0</v>
      </c>
      <c r="P30" s="8">
        <v>0</v>
      </c>
      <c r="Q30" s="8">
        <v>0</v>
      </c>
      <c r="R30" s="8">
        <v>0</v>
      </c>
      <c r="S30" s="8">
        <v>0</v>
      </c>
      <c r="T30" s="8">
        <v>0</v>
      </c>
      <c r="U30" s="7">
        <v>0</v>
      </c>
      <c r="V30" s="7">
        <v>0</v>
      </c>
      <c r="W30" s="7">
        <v>0</v>
      </c>
      <c r="X30" s="7">
        <v>0</v>
      </c>
      <c r="Y30" s="7">
        <v>0</v>
      </c>
      <c r="Z30" s="7">
        <v>0</v>
      </c>
      <c r="AA30" s="7">
        <v>0</v>
      </c>
      <c r="AB30" s="7">
        <v>0</v>
      </c>
      <c r="AC30" s="7">
        <v>1</v>
      </c>
      <c r="AD30" s="7">
        <v>1</v>
      </c>
      <c r="AE30" s="7">
        <v>1</v>
      </c>
      <c r="AF30" s="7">
        <v>1</v>
      </c>
      <c r="AG30" s="7">
        <v>1</v>
      </c>
      <c r="AH30" s="7">
        <v>1</v>
      </c>
      <c r="AI30" s="7">
        <v>1</v>
      </c>
      <c r="AJ30" s="7">
        <v>1</v>
      </c>
      <c r="AK30" s="7">
        <v>1</v>
      </c>
      <c r="AL30" s="7">
        <v>1</v>
      </c>
      <c r="AM30" s="7">
        <v>1</v>
      </c>
      <c r="AN30" s="7">
        <v>1</v>
      </c>
      <c r="AO30" s="7">
        <v>1</v>
      </c>
      <c r="AP30" s="7">
        <v>1</v>
      </c>
      <c r="AQ30" s="7">
        <v>1</v>
      </c>
      <c r="AR30" s="7">
        <v>1</v>
      </c>
      <c r="AS30" s="7">
        <v>1</v>
      </c>
      <c r="AT30" s="7">
        <v>1</v>
      </c>
      <c r="AU30" s="7">
        <v>1</v>
      </c>
      <c r="AV30" s="7">
        <v>1</v>
      </c>
      <c r="AW30" s="7">
        <v>1</v>
      </c>
      <c r="AX30" s="7">
        <v>1</v>
      </c>
      <c r="AY30" s="7">
        <v>1</v>
      </c>
      <c r="AZ30" s="7">
        <v>1</v>
      </c>
      <c r="BA30" s="7">
        <v>1</v>
      </c>
      <c r="BB30" s="7">
        <v>1</v>
      </c>
      <c r="BC30" s="7">
        <v>1</v>
      </c>
      <c r="BD30" s="7">
        <v>1</v>
      </c>
      <c r="BE30" s="7">
        <v>1</v>
      </c>
      <c r="BF30" s="7">
        <v>1</v>
      </c>
      <c r="BG30" s="7">
        <v>1</v>
      </c>
      <c r="BH30" s="7">
        <v>1</v>
      </c>
      <c r="BI30" s="7">
        <v>1</v>
      </c>
      <c r="BJ30" s="7">
        <v>1</v>
      </c>
    </row>
    <row r="31" spans="1:62" x14ac:dyDescent="0.2">
      <c r="D31" t="str">
        <v>22 out of 32</v>
      </c>
      <c r="L31">
        <v>6</v>
      </c>
      <c r="M31" s="8">
        <v>0</v>
      </c>
      <c r="N31" s="8">
        <v>0</v>
      </c>
      <c r="O31" s="8">
        <v>0</v>
      </c>
      <c r="P31" s="8">
        <v>0</v>
      </c>
      <c r="Q31" s="8">
        <v>0</v>
      </c>
      <c r="R31" s="8">
        <v>0</v>
      </c>
      <c r="S31" s="8">
        <v>0</v>
      </c>
      <c r="T31" s="8">
        <v>0</v>
      </c>
      <c r="U31" s="7">
        <v>0</v>
      </c>
      <c r="V31" s="7">
        <v>0</v>
      </c>
      <c r="W31" s="7">
        <v>0</v>
      </c>
      <c r="X31" s="7">
        <v>0</v>
      </c>
      <c r="Y31" s="7">
        <v>0</v>
      </c>
      <c r="Z31" s="7">
        <v>0</v>
      </c>
      <c r="AA31" s="7">
        <v>0</v>
      </c>
      <c r="AB31" s="7">
        <v>0</v>
      </c>
      <c r="AC31" s="7">
        <v>0</v>
      </c>
      <c r="AD31" s="7">
        <v>0</v>
      </c>
      <c r="AE31" s="7">
        <v>1</v>
      </c>
      <c r="AF31" s="7">
        <v>1</v>
      </c>
      <c r="AG31" s="7">
        <v>1</v>
      </c>
      <c r="AH31" s="7">
        <v>1</v>
      </c>
      <c r="AI31" s="7">
        <v>1</v>
      </c>
      <c r="AJ31" s="7">
        <v>1</v>
      </c>
      <c r="AK31" s="7">
        <v>1</v>
      </c>
      <c r="AL31" s="7">
        <v>1</v>
      </c>
      <c r="AM31" s="7">
        <v>1</v>
      </c>
      <c r="AN31" s="7">
        <v>1</v>
      </c>
      <c r="AO31" s="7">
        <v>1</v>
      </c>
      <c r="AP31" s="7">
        <v>1</v>
      </c>
      <c r="AQ31" s="7">
        <v>1</v>
      </c>
      <c r="AR31" s="7">
        <v>1</v>
      </c>
      <c r="AS31" s="7">
        <v>1</v>
      </c>
      <c r="AT31" s="7">
        <v>1</v>
      </c>
      <c r="AU31" s="7">
        <v>1</v>
      </c>
      <c r="AV31" s="7">
        <v>1</v>
      </c>
      <c r="AW31" s="7">
        <v>1</v>
      </c>
      <c r="AX31" s="7">
        <v>1</v>
      </c>
      <c r="AY31" s="7">
        <v>1</v>
      </c>
      <c r="AZ31" s="7">
        <v>1</v>
      </c>
      <c r="BA31" s="7">
        <v>1</v>
      </c>
      <c r="BB31" s="7">
        <v>1</v>
      </c>
      <c r="BC31" s="7">
        <v>1</v>
      </c>
      <c r="BD31" s="7">
        <v>1</v>
      </c>
      <c r="BE31" s="7">
        <v>1</v>
      </c>
      <c r="BF31" s="7">
        <v>1</v>
      </c>
      <c r="BG31" s="7">
        <v>1</v>
      </c>
      <c r="BH31" s="7">
        <v>1</v>
      </c>
      <c r="BI31" s="7">
        <v>1</v>
      </c>
      <c r="BJ31" s="7">
        <v>1</v>
      </c>
    </row>
    <row r="32" spans="1:62" x14ac:dyDescent="0.2">
      <c r="D32" t="str">
        <v>23 out of 34</v>
      </c>
      <c r="L32">
        <v>7</v>
      </c>
      <c r="M32" s="8">
        <v>0</v>
      </c>
      <c r="N32" s="8">
        <v>0</v>
      </c>
      <c r="O32" s="8">
        <v>0</v>
      </c>
      <c r="P32" s="8">
        <v>0</v>
      </c>
      <c r="Q32" s="8">
        <v>0</v>
      </c>
      <c r="R32" s="8">
        <v>0</v>
      </c>
      <c r="S32" s="8">
        <v>0</v>
      </c>
      <c r="T32" s="8">
        <v>0</v>
      </c>
      <c r="U32" s="7">
        <v>0</v>
      </c>
      <c r="V32" s="7">
        <v>0</v>
      </c>
      <c r="W32" s="7">
        <v>0</v>
      </c>
      <c r="X32" s="7">
        <v>0</v>
      </c>
      <c r="Y32" s="7">
        <v>0</v>
      </c>
      <c r="Z32" s="7">
        <v>0</v>
      </c>
      <c r="AA32" s="7">
        <v>0</v>
      </c>
      <c r="AB32" s="7">
        <v>0</v>
      </c>
      <c r="AC32" s="7">
        <v>0</v>
      </c>
      <c r="AD32" s="7">
        <v>0</v>
      </c>
      <c r="AE32" s="7">
        <v>1</v>
      </c>
      <c r="AF32" s="7">
        <v>1</v>
      </c>
      <c r="AG32" s="7">
        <v>1</v>
      </c>
      <c r="AH32" s="7">
        <v>1</v>
      </c>
      <c r="AI32" s="7">
        <v>1</v>
      </c>
      <c r="AJ32" s="7">
        <v>1</v>
      </c>
      <c r="AK32" s="7">
        <v>1</v>
      </c>
      <c r="AL32" s="7">
        <v>1</v>
      </c>
      <c r="AM32" s="7">
        <v>1</v>
      </c>
      <c r="AN32" s="7">
        <v>1</v>
      </c>
      <c r="AO32" s="7">
        <v>1</v>
      </c>
      <c r="AP32" s="7">
        <v>1</v>
      </c>
      <c r="AQ32" s="7">
        <v>1</v>
      </c>
      <c r="AR32" s="7">
        <v>1</v>
      </c>
      <c r="AS32" s="7">
        <v>1</v>
      </c>
      <c r="AT32" s="7">
        <v>1</v>
      </c>
      <c r="AU32" s="7">
        <v>1</v>
      </c>
      <c r="AV32" s="7">
        <v>1</v>
      </c>
      <c r="AW32" s="7">
        <v>1</v>
      </c>
      <c r="AX32" s="7">
        <v>1</v>
      </c>
      <c r="AY32" s="7">
        <v>1</v>
      </c>
      <c r="AZ32" s="7">
        <v>1</v>
      </c>
      <c r="BA32" s="7">
        <v>1</v>
      </c>
      <c r="BB32" s="7">
        <v>1</v>
      </c>
      <c r="BC32" s="7">
        <v>1</v>
      </c>
      <c r="BD32" s="7">
        <v>1</v>
      </c>
      <c r="BE32" s="7">
        <v>1</v>
      </c>
      <c r="BF32" s="7">
        <v>1</v>
      </c>
      <c r="BG32" s="7">
        <v>1</v>
      </c>
      <c r="BH32" s="7">
        <v>1</v>
      </c>
      <c r="BI32" s="7">
        <v>1</v>
      </c>
      <c r="BJ32" s="7">
        <v>1</v>
      </c>
    </row>
    <row r="33" spans="4:62" ht="14.25" customHeight="1" x14ac:dyDescent="0.2">
      <c r="D33" t="str">
        <v>24 out of 36</v>
      </c>
      <c r="L33">
        <v>8</v>
      </c>
      <c r="M33" s="8">
        <v>0</v>
      </c>
      <c r="N33" s="8">
        <v>0</v>
      </c>
      <c r="O33" s="8">
        <v>0</v>
      </c>
      <c r="P33" s="8">
        <v>0</v>
      </c>
      <c r="Q33" s="8">
        <v>0</v>
      </c>
      <c r="R33" s="8">
        <v>0</v>
      </c>
      <c r="S33" s="8">
        <v>0</v>
      </c>
      <c r="T33" s="8">
        <v>0</v>
      </c>
      <c r="U33" s="7">
        <v>0</v>
      </c>
      <c r="V33" s="7">
        <v>0</v>
      </c>
      <c r="W33" s="7">
        <v>0</v>
      </c>
      <c r="X33" s="7">
        <v>0</v>
      </c>
      <c r="Y33" s="7">
        <v>0</v>
      </c>
      <c r="Z33" s="7">
        <v>0</v>
      </c>
      <c r="AA33" s="7">
        <v>0</v>
      </c>
      <c r="AB33" s="7">
        <v>0</v>
      </c>
      <c r="AC33" s="7">
        <v>0</v>
      </c>
      <c r="AD33" s="7">
        <v>0</v>
      </c>
      <c r="AE33" s="7">
        <v>0</v>
      </c>
      <c r="AF33" s="7">
        <v>1</v>
      </c>
      <c r="AG33" s="7">
        <v>1</v>
      </c>
      <c r="AH33" s="7">
        <v>1</v>
      </c>
      <c r="AI33" s="7">
        <v>1</v>
      </c>
      <c r="AJ33" s="7">
        <v>1</v>
      </c>
      <c r="AK33" s="7">
        <v>1</v>
      </c>
      <c r="AL33" s="7">
        <v>1</v>
      </c>
      <c r="AM33" s="7">
        <v>1</v>
      </c>
      <c r="AN33" s="7">
        <v>1</v>
      </c>
      <c r="AO33" s="7">
        <v>1</v>
      </c>
      <c r="AP33" s="7">
        <v>1</v>
      </c>
      <c r="AQ33" s="7">
        <v>1</v>
      </c>
      <c r="AR33" s="7">
        <v>1</v>
      </c>
      <c r="AS33" s="7">
        <v>1</v>
      </c>
      <c r="AT33" s="7">
        <v>1</v>
      </c>
      <c r="AU33" s="7">
        <v>1</v>
      </c>
      <c r="AV33" s="7">
        <v>1</v>
      </c>
      <c r="AW33" s="7">
        <v>1</v>
      </c>
      <c r="AX33" s="7">
        <v>1</v>
      </c>
      <c r="AY33" s="7">
        <v>1</v>
      </c>
      <c r="AZ33" s="7">
        <v>1</v>
      </c>
      <c r="BA33" s="7">
        <v>1</v>
      </c>
      <c r="BB33" s="7">
        <v>1</v>
      </c>
      <c r="BC33" s="7">
        <v>1</v>
      </c>
      <c r="BD33" s="7">
        <v>1</v>
      </c>
      <c r="BE33" s="7">
        <v>1</v>
      </c>
      <c r="BF33" s="7">
        <v>1</v>
      </c>
      <c r="BG33" s="7">
        <v>1</v>
      </c>
      <c r="BH33" s="7">
        <v>1</v>
      </c>
      <c r="BI33" s="7">
        <v>1</v>
      </c>
      <c r="BJ33" s="7">
        <v>1</v>
      </c>
    </row>
    <row r="34" spans="4:62" x14ac:dyDescent="0.2">
      <c r="D34" t="str">
        <v>25 out of 38</v>
      </c>
      <c r="L34">
        <v>9</v>
      </c>
      <c r="M34" s="8">
        <v>0</v>
      </c>
      <c r="N34" s="8">
        <v>0</v>
      </c>
      <c r="O34" s="8">
        <v>0</v>
      </c>
      <c r="P34" s="8">
        <v>0</v>
      </c>
      <c r="Q34" s="8">
        <v>0</v>
      </c>
      <c r="R34" s="8">
        <v>0</v>
      </c>
      <c r="S34" s="8">
        <v>0</v>
      </c>
      <c r="T34" s="8">
        <v>0</v>
      </c>
      <c r="U34" s="7">
        <v>0</v>
      </c>
      <c r="V34" s="7">
        <v>0</v>
      </c>
      <c r="W34" s="7">
        <v>0</v>
      </c>
      <c r="X34" s="7">
        <v>0</v>
      </c>
      <c r="Y34" s="7">
        <v>0</v>
      </c>
      <c r="Z34" s="7">
        <v>0</v>
      </c>
      <c r="AA34" s="7">
        <v>0</v>
      </c>
      <c r="AB34" s="7">
        <v>0</v>
      </c>
      <c r="AC34" s="7">
        <v>0</v>
      </c>
      <c r="AD34" s="7">
        <v>0</v>
      </c>
      <c r="AE34" s="7">
        <v>0</v>
      </c>
      <c r="AF34" s="7">
        <v>0</v>
      </c>
      <c r="AG34" s="7">
        <v>1</v>
      </c>
      <c r="AH34" s="7">
        <v>1</v>
      </c>
      <c r="AI34" s="7">
        <v>1</v>
      </c>
      <c r="AJ34" s="7">
        <v>1</v>
      </c>
      <c r="AK34" s="7">
        <v>1</v>
      </c>
      <c r="AL34" s="7">
        <v>1</v>
      </c>
      <c r="AM34" s="7">
        <v>1</v>
      </c>
      <c r="AN34" s="7">
        <v>1</v>
      </c>
      <c r="AO34" s="7">
        <v>1</v>
      </c>
      <c r="AP34" s="7">
        <v>1</v>
      </c>
      <c r="AQ34" s="7">
        <v>1</v>
      </c>
      <c r="AR34" s="7">
        <v>1</v>
      </c>
      <c r="AS34" s="7">
        <v>1</v>
      </c>
      <c r="AT34" s="7">
        <v>1</v>
      </c>
      <c r="AU34" s="7">
        <v>1</v>
      </c>
      <c r="AV34" s="7">
        <v>1</v>
      </c>
      <c r="AW34" s="7">
        <v>1</v>
      </c>
      <c r="AX34" s="7">
        <v>1</v>
      </c>
      <c r="AY34" s="7">
        <v>1</v>
      </c>
      <c r="AZ34" s="7">
        <v>1</v>
      </c>
      <c r="BA34" s="7">
        <v>1</v>
      </c>
      <c r="BB34" s="7">
        <v>1</v>
      </c>
      <c r="BC34" s="7">
        <v>1</v>
      </c>
      <c r="BD34" s="7">
        <v>1</v>
      </c>
      <c r="BE34" s="7">
        <v>1</v>
      </c>
      <c r="BF34" s="7">
        <v>1</v>
      </c>
      <c r="BG34" s="7">
        <v>1</v>
      </c>
      <c r="BH34" s="7">
        <v>1</v>
      </c>
      <c r="BI34" s="7">
        <v>1</v>
      </c>
      <c r="BJ34" s="7">
        <v>1</v>
      </c>
    </row>
    <row r="35" spans="4:62" x14ac:dyDescent="0.2">
      <c r="D35" t="str">
        <v>26 out of 41</v>
      </c>
      <c r="L35">
        <v>10</v>
      </c>
      <c r="M35" s="8">
        <v>0</v>
      </c>
      <c r="N35" s="8">
        <v>0</v>
      </c>
      <c r="O35" s="8">
        <v>0</v>
      </c>
      <c r="P35" s="8">
        <v>0</v>
      </c>
      <c r="Q35" s="8">
        <v>0</v>
      </c>
      <c r="R35" s="8">
        <v>0</v>
      </c>
      <c r="S35" s="8">
        <v>0</v>
      </c>
      <c r="T35" s="8">
        <v>0</v>
      </c>
      <c r="U35" s="7">
        <v>0</v>
      </c>
      <c r="V35" s="7">
        <v>0</v>
      </c>
      <c r="W35" s="7">
        <v>0</v>
      </c>
      <c r="X35" s="7">
        <v>0</v>
      </c>
      <c r="Y35" s="7">
        <v>0</v>
      </c>
      <c r="Z35" s="7">
        <v>0</v>
      </c>
      <c r="AA35" s="7">
        <v>0</v>
      </c>
      <c r="AB35" s="7">
        <v>0</v>
      </c>
      <c r="AC35" s="7">
        <v>0</v>
      </c>
      <c r="AD35" s="7">
        <v>0</v>
      </c>
      <c r="AE35" s="7">
        <v>0</v>
      </c>
      <c r="AF35" s="7">
        <v>0</v>
      </c>
      <c r="AG35" s="7">
        <v>0</v>
      </c>
      <c r="AH35" s="7">
        <v>1</v>
      </c>
      <c r="AI35" s="7">
        <v>1</v>
      </c>
      <c r="AJ35" s="7">
        <v>1</v>
      </c>
      <c r="AK35" s="7">
        <v>1</v>
      </c>
      <c r="AL35" s="7">
        <v>1</v>
      </c>
      <c r="AM35" s="7">
        <v>1</v>
      </c>
      <c r="AN35" s="7">
        <v>1</v>
      </c>
      <c r="AO35" s="7">
        <v>1</v>
      </c>
      <c r="AP35" s="7">
        <v>1</v>
      </c>
      <c r="AQ35" s="7">
        <v>1</v>
      </c>
      <c r="AR35" s="7">
        <v>1</v>
      </c>
      <c r="AS35" s="7">
        <v>1</v>
      </c>
      <c r="AT35" s="7">
        <v>1</v>
      </c>
      <c r="AU35" s="7">
        <v>1</v>
      </c>
      <c r="AV35" s="7">
        <v>1</v>
      </c>
      <c r="AW35" s="7">
        <v>1</v>
      </c>
      <c r="AX35" s="7">
        <v>1</v>
      </c>
      <c r="AY35" s="7">
        <v>1</v>
      </c>
      <c r="AZ35" s="7">
        <v>1</v>
      </c>
      <c r="BA35" s="7">
        <v>1</v>
      </c>
      <c r="BB35" s="7">
        <v>1</v>
      </c>
      <c r="BC35" s="7">
        <v>1</v>
      </c>
      <c r="BD35" s="7">
        <v>1</v>
      </c>
      <c r="BE35" s="7">
        <v>1</v>
      </c>
      <c r="BF35" s="7">
        <v>1</v>
      </c>
      <c r="BG35" s="7">
        <v>1</v>
      </c>
      <c r="BH35" s="7">
        <v>1</v>
      </c>
      <c r="BI35" s="7">
        <v>1</v>
      </c>
      <c r="BJ35" s="7">
        <v>1</v>
      </c>
    </row>
    <row r="36" spans="4:62" x14ac:dyDescent="0.2">
      <c r="D36" t="str">
        <v>27 out of 43</v>
      </c>
      <c r="L36">
        <v>11</v>
      </c>
      <c r="M36" s="8">
        <v>0</v>
      </c>
      <c r="N36" s="8">
        <v>0</v>
      </c>
      <c r="O36" s="8">
        <v>0</v>
      </c>
      <c r="P36" s="8">
        <v>0</v>
      </c>
      <c r="Q36" s="8">
        <v>0</v>
      </c>
      <c r="R36" s="8">
        <v>0</v>
      </c>
      <c r="S36" s="8">
        <v>0</v>
      </c>
      <c r="T36" s="8">
        <v>0</v>
      </c>
      <c r="U36" s="7">
        <v>0</v>
      </c>
      <c r="V36" s="7">
        <v>0</v>
      </c>
      <c r="W36" s="7">
        <v>0</v>
      </c>
      <c r="X36" s="7">
        <v>0</v>
      </c>
      <c r="Y36" s="7">
        <v>0</v>
      </c>
      <c r="Z36" s="7">
        <v>0</v>
      </c>
      <c r="AA36" s="7">
        <v>0</v>
      </c>
      <c r="AB36" s="7">
        <v>0</v>
      </c>
      <c r="AC36" s="7">
        <v>0</v>
      </c>
      <c r="AD36" s="7">
        <v>0</v>
      </c>
      <c r="AE36" s="7">
        <v>0</v>
      </c>
      <c r="AF36" s="7">
        <v>0</v>
      </c>
      <c r="AG36" s="7">
        <v>0</v>
      </c>
      <c r="AH36" s="7">
        <v>0</v>
      </c>
      <c r="AI36" s="7">
        <v>1</v>
      </c>
      <c r="AJ36" s="7">
        <v>1</v>
      </c>
      <c r="AK36" s="7">
        <v>1</v>
      </c>
      <c r="AL36" s="7">
        <v>1</v>
      </c>
      <c r="AM36" s="7">
        <v>1</v>
      </c>
      <c r="AN36" s="7">
        <v>1</v>
      </c>
      <c r="AO36" s="7">
        <v>1</v>
      </c>
      <c r="AP36" s="7">
        <v>1</v>
      </c>
      <c r="AQ36" s="7">
        <v>1</v>
      </c>
      <c r="AR36" s="7">
        <v>1</v>
      </c>
      <c r="AS36" s="7">
        <v>1</v>
      </c>
      <c r="AT36" s="7">
        <v>1</v>
      </c>
      <c r="AU36" s="7">
        <v>1</v>
      </c>
      <c r="AV36" s="7">
        <v>1</v>
      </c>
      <c r="AW36" s="7">
        <v>1</v>
      </c>
      <c r="AX36" s="7">
        <v>1</v>
      </c>
      <c r="AY36" s="7">
        <v>1</v>
      </c>
      <c r="AZ36" s="7">
        <v>1</v>
      </c>
      <c r="BA36" s="7">
        <v>1</v>
      </c>
      <c r="BB36" s="7">
        <v>1</v>
      </c>
      <c r="BC36" s="7">
        <v>1</v>
      </c>
      <c r="BD36" s="7">
        <v>1</v>
      </c>
      <c r="BE36" s="7">
        <v>1</v>
      </c>
      <c r="BF36" s="7">
        <v>1</v>
      </c>
      <c r="BG36" s="7">
        <v>1</v>
      </c>
      <c r="BH36" s="7">
        <v>1</v>
      </c>
      <c r="BI36" s="7">
        <v>1</v>
      </c>
      <c r="BJ36" s="7">
        <v>1</v>
      </c>
    </row>
    <row r="37" spans="4:62" x14ac:dyDescent="0.2">
      <c r="D37" t="str">
        <v>28 out of 45</v>
      </c>
      <c r="L37">
        <v>12</v>
      </c>
      <c r="M37" s="8">
        <v>0</v>
      </c>
      <c r="N37" s="8">
        <v>0</v>
      </c>
      <c r="O37" s="8">
        <v>0</v>
      </c>
      <c r="P37" s="8">
        <v>0</v>
      </c>
      <c r="Q37" s="8">
        <v>0</v>
      </c>
      <c r="R37" s="8">
        <v>0</v>
      </c>
      <c r="S37" s="8">
        <v>0</v>
      </c>
      <c r="T37" s="8">
        <v>0</v>
      </c>
      <c r="U37" s="7">
        <v>0</v>
      </c>
      <c r="V37" s="7">
        <v>0</v>
      </c>
      <c r="W37" s="7">
        <v>0</v>
      </c>
      <c r="X37" s="7">
        <v>0</v>
      </c>
      <c r="Y37" s="7">
        <v>0</v>
      </c>
      <c r="Z37" s="7">
        <v>0</v>
      </c>
      <c r="AA37" s="7">
        <v>0</v>
      </c>
      <c r="AB37" s="7">
        <v>0</v>
      </c>
      <c r="AC37" s="7">
        <v>0</v>
      </c>
      <c r="AD37" s="7">
        <v>0</v>
      </c>
      <c r="AE37" s="7">
        <v>0</v>
      </c>
      <c r="AF37" s="7">
        <v>0</v>
      </c>
      <c r="AG37" s="7">
        <v>0</v>
      </c>
      <c r="AH37" s="7">
        <v>0</v>
      </c>
      <c r="AI37" s="7">
        <v>0</v>
      </c>
      <c r="AJ37" s="7">
        <v>1</v>
      </c>
      <c r="AK37" s="7">
        <v>1</v>
      </c>
      <c r="AL37" s="7">
        <v>1</v>
      </c>
      <c r="AM37" s="7">
        <v>1</v>
      </c>
      <c r="AN37" s="7">
        <v>1</v>
      </c>
      <c r="AO37" s="7">
        <v>1</v>
      </c>
      <c r="AP37" s="7">
        <v>1</v>
      </c>
      <c r="AQ37" s="7">
        <v>1</v>
      </c>
      <c r="AR37" s="7">
        <v>1</v>
      </c>
      <c r="AS37" s="7">
        <v>1</v>
      </c>
      <c r="AT37" s="7">
        <v>1</v>
      </c>
      <c r="AU37" s="7">
        <v>1</v>
      </c>
      <c r="AV37" s="7">
        <v>1</v>
      </c>
      <c r="AW37" s="7">
        <v>1</v>
      </c>
      <c r="AX37" s="7">
        <v>1</v>
      </c>
      <c r="AY37" s="7">
        <v>1</v>
      </c>
      <c r="AZ37" s="7">
        <v>1</v>
      </c>
      <c r="BA37" s="7">
        <v>1</v>
      </c>
      <c r="BB37" s="7">
        <v>1</v>
      </c>
      <c r="BC37" s="7">
        <v>1</v>
      </c>
      <c r="BD37" s="7">
        <v>1</v>
      </c>
      <c r="BE37" s="7">
        <v>1</v>
      </c>
      <c r="BF37" s="7">
        <v>1</v>
      </c>
      <c r="BG37" s="7">
        <v>1</v>
      </c>
      <c r="BH37" s="7">
        <v>1</v>
      </c>
      <c r="BI37" s="7">
        <v>1</v>
      </c>
      <c r="BJ37" s="7">
        <v>1</v>
      </c>
    </row>
    <row r="38" spans="4:62" x14ac:dyDescent="0.2">
      <c r="D38" t="str">
        <v>29 out of 47</v>
      </c>
      <c r="L38">
        <v>13</v>
      </c>
      <c r="M38" s="8">
        <v>0</v>
      </c>
      <c r="N38" s="8">
        <v>0</v>
      </c>
      <c r="O38" s="8">
        <v>0</v>
      </c>
      <c r="P38" s="8">
        <v>0</v>
      </c>
      <c r="Q38" s="8">
        <v>0</v>
      </c>
      <c r="R38" s="8">
        <v>0</v>
      </c>
      <c r="S38" s="8">
        <v>0</v>
      </c>
      <c r="T38" s="8">
        <v>0</v>
      </c>
      <c r="U38" s="7">
        <v>0</v>
      </c>
      <c r="V38" s="7">
        <v>0</v>
      </c>
      <c r="W38" s="7">
        <v>0</v>
      </c>
      <c r="X38" s="7">
        <v>0</v>
      </c>
      <c r="Y38" s="7">
        <v>0</v>
      </c>
      <c r="Z38" s="7">
        <v>0</v>
      </c>
      <c r="AA38" s="7">
        <v>0</v>
      </c>
      <c r="AB38" s="7">
        <v>0</v>
      </c>
      <c r="AC38" s="7">
        <v>0</v>
      </c>
      <c r="AD38" s="7">
        <v>0</v>
      </c>
      <c r="AE38" s="7">
        <v>0</v>
      </c>
      <c r="AF38" s="7">
        <v>0</v>
      </c>
      <c r="AG38" s="7">
        <v>0</v>
      </c>
      <c r="AH38" s="7">
        <v>0</v>
      </c>
      <c r="AI38" s="7">
        <v>0</v>
      </c>
      <c r="AJ38" s="7">
        <v>0</v>
      </c>
      <c r="AK38" s="7">
        <v>1</v>
      </c>
      <c r="AL38" s="7">
        <v>1</v>
      </c>
      <c r="AM38" s="7">
        <v>1</v>
      </c>
      <c r="AN38" s="7">
        <v>1</v>
      </c>
      <c r="AO38" s="7">
        <v>1</v>
      </c>
      <c r="AP38" s="7">
        <v>1</v>
      </c>
      <c r="AQ38" s="7">
        <v>1</v>
      </c>
      <c r="AR38" s="7">
        <v>1</v>
      </c>
      <c r="AS38" s="7">
        <v>1</v>
      </c>
      <c r="AT38" s="7">
        <v>1</v>
      </c>
      <c r="AU38" s="7">
        <v>1</v>
      </c>
      <c r="AV38" s="7">
        <v>1</v>
      </c>
      <c r="AW38" s="7">
        <v>1</v>
      </c>
      <c r="AX38" s="7">
        <v>1</v>
      </c>
      <c r="AY38" s="7">
        <v>1</v>
      </c>
      <c r="AZ38" s="7">
        <v>1</v>
      </c>
      <c r="BA38" s="7">
        <v>1</v>
      </c>
      <c r="BB38" s="7">
        <v>1</v>
      </c>
      <c r="BC38" s="7">
        <v>1</v>
      </c>
      <c r="BD38" s="7">
        <v>1</v>
      </c>
      <c r="BE38" s="7">
        <v>1</v>
      </c>
      <c r="BF38" s="7">
        <v>1</v>
      </c>
      <c r="BG38" s="7">
        <v>1</v>
      </c>
      <c r="BH38" s="7">
        <v>1</v>
      </c>
      <c r="BI38" s="7">
        <v>1</v>
      </c>
      <c r="BJ38" s="7">
        <v>1</v>
      </c>
    </row>
    <row r="39" spans="4:62" x14ac:dyDescent="0.2">
      <c r="D39" t="str">
        <v>30 out of 50</v>
      </c>
      <c r="L39">
        <v>14</v>
      </c>
      <c r="M39" s="8">
        <v>0</v>
      </c>
      <c r="N39" s="8">
        <v>0</v>
      </c>
      <c r="O39" s="8">
        <v>0</v>
      </c>
      <c r="P39" s="8">
        <v>0</v>
      </c>
      <c r="Q39" s="8">
        <v>0</v>
      </c>
      <c r="R39" s="8">
        <v>0</v>
      </c>
      <c r="S39" s="8">
        <v>0</v>
      </c>
      <c r="T39" s="8">
        <v>0</v>
      </c>
      <c r="U39" s="7">
        <v>0</v>
      </c>
      <c r="V39" s="7">
        <v>0</v>
      </c>
      <c r="W39" s="7">
        <v>0</v>
      </c>
      <c r="X39" s="7">
        <v>0</v>
      </c>
      <c r="Y39" s="7">
        <v>0</v>
      </c>
      <c r="Z39" s="7">
        <v>0</v>
      </c>
      <c r="AA39" s="7">
        <v>0</v>
      </c>
      <c r="AB39" s="7">
        <v>0</v>
      </c>
      <c r="AC39" s="7">
        <v>0</v>
      </c>
      <c r="AD39" s="7">
        <v>0</v>
      </c>
      <c r="AE39" s="7">
        <v>0</v>
      </c>
      <c r="AF39" s="7">
        <v>0</v>
      </c>
      <c r="AG39" s="7">
        <v>0</v>
      </c>
      <c r="AH39" s="7">
        <v>0</v>
      </c>
      <c r="AI39" s="7">
        <v>0</v>
      </c>
      <c r="AJ39" s="7">
        <v>0</v>
      </c>
      <c r="AK39" s="7">
        <v>0</v>
      </c>
      <c r="AL39" s="7">
        <v>1</v>
      </c>
      <c r="AM39" s="7">
        <v>1</v>
      </c>
      <c r="AN39" s="7">
        <v>1</v>
      </c>
      <c r="AO39" s="7">
        <v>1</v>
      </c>
      <c r="AP39" s="7">
        <v>1</v>
      </c>
      <c r="AQ39" s="7">
        <v>1</v>
      </c>
      <c r="AR39" s="7">
        <v>1</v>
      </c>
      <c r="AS39" s="7">
        <v>1</v>
      </c>
      <c r="AT39" s="7">
        <v>1</v>
      </c>
      <c r="AU39" s="7">
        <v>1</v>
      </c>
      <c r="AV39" s="7">
        <v>1</v>
      </c>
      <c r="AW39" s="7">
        <v>1</v>
      </c>
      <c r="AX39" s="7">
        <v>1</v>
      </c>
      <c r="AY39" s="7">
        <v>1</v>
      </c>
      <c r="AZ39" s="7">
        <v>1</v>
      </c>
      <c r="BA39" s="7">
        <v>1</v>
      </c>
      <c r="BB39" s="7">
        <v>1</v>
      </c>
      <c r="BC39" s="7">
        <v>1</v>
      </c>
      <c r="BD39" s="7">
        <v>1</v>
      </c>
      <c r="BE39" s="7">
        <v>1</v>
      </c>
      <c r="BF39" s="7">
        <v>1</v>
      </c>
      <c r="BG39" s="7">
        <v>1</v>
      </c>
      <c r="BH39" s="7">
        <v>1</v>
      </c>
      <c r="BI39" s="7">
        <v>1</v>
      </c>
      <c r="BJ39" s="7">
        <v>1</v>
      </c>
    </row>
    <row r="40" spans="4:62" x14ac:dyDescent="0.2">
      <c r="D40" t="str">
        <v>31 out of 52</v>
      </c>
      <c r="L40">
        <v>15</v>
      </c>
      <c r="M40" s="8">
        <v>0</v>
      </c>
      <c r="N40" s="8">
        <v>0</v>
      </c>
      <c r="O40" s="8">
        <v>0</v>
      </c>
      <c r="P40" s="8">
        <v>0</v>
      </c>
      <c r="Q40" s="8">
        <v>0</v>
      </c>
      <c r="R40" s="8">
        <v>0</v>
      </c>
      <c r="S40" s="8">
        <v>0</v>
      </c>
      <c r="T40" s="8">
        <v>0</v>
      </c>
      <c r="U40" s="7">
        <v>0</v>
      </c>
      <c r="V40" s="7">
        <v>0</v>
      </c>
      <c r="W40" s="7">
        <v>0</v>
      </c>
      <c r="X40" s="7">
        <v>0</v>
      </c>
      <c r="Y40" s="7">
        <v>0</v>
      </c>
      <c r="Z40" s="7">
        <v>0</v>
      </c>
      <c r="AA40" s="7">
        <v>0</v>
      </c>
      <c r="AB40" s="7">
        <v>0</v>
      </c>
      <c r="AC40" s="7">
        <v>0</v>
      </c>
      <c r="AD40" s="7">
        <v>0</v>
      </c>
      <c r="AE40" s="7">
        <v>0</v>
      </c>
      <c r="AF40" s="7">
        <v>0</v>
      </c>
      <c r="AG40" s="7">
        <v>0</v>
      </c>
      <c r="AH40" s="7">
        <v>0</v>
      </c>
      <c r="AI40" s="7">
        <v>0</v>
      </c>
      <c r="AJ40" s="7">
        <v>0</v>
      </c>
      <c r="AK40" s="7">
        <v>0</v>
      </c>
      <c r="AL40" s="7">
        <v>1</v>
      </c>
      <c r="AM40" s="7">
        <v>1</v>
      </c>
      <c r="AN40" s="7">
        <v>1</v>
      </c>
      <c r="AO40" s="7">
        <v>1</v>
      </c>
      <c r="AP40" s="7">
        <v>1</v>
      </c>
      <c r="AQ40" s="7">
        <v>1</v>
      </c>
      <c r="AR40" s="7">
        <v>1</v>
      </c>
      <c r="AS40" s="7">
        <v>1</v>
      </c>
      <c r="AT40" s="7">
        <v>1</v>
      </c>
      <c r="AU40" s="7">
        <v>1</v>
      </c>
      <c r="AV40" s="7">
        <v>1</v>
      </c>
      <c r="AW40" s="7">
        <v>1</v>
      </c>
      <c r="AX40" s="7">
        <v>1</v>
      </c>
      <c r="AY40" s="7">
        <v>1</v>
      </c>
      <c r="AZ40" s="7">
        <v>1</v>
      </c>
      <c r="BA40" s="7">
        <v>1</v>
      </c>
      <c r="BB40" s="7">
        <v>1</v>
      </c>
      <c r="BC40" s="7">
        <v>1</v>
      </c>
      <c r="BD40" s="7">
        <v>1</v>
      </c>
      <c r="BE40" s="7">
        <v>1</v>
      </c>
      <c r="BF40" s="7">
        <v>1</v>
      </c>
      <c r="BG40" s="7">
        <v>1</v>
      </c>
      <c r="BH40" s="7">
        <v>1</v>
      </c>
      <c r="BI40" s="7">
        <v>1</v>
      </c>
      <c r="BJ40" s="7">
        <v>1</v>
      </c>
    </row>
    <row r="41" spans="4:62" x14ac:dyDescent="0.2">
      <c r="D41" t="str">
        <v>32 out of 54</v>
      </c>
      <c r="L41">
        <v>16</v>
      </c>
      <c r="M41" s="8">
        <v>0</v>
      </c>
      <c r="N41" s="8">
        <v>0</v>
      </c>
      <c r="O41" s="8">
        <v>0</v>
      </c>
      <c r="P41" s="8">
        <v>0</v>
      </c>
      <c r="Q41" s="8">
        <v>0</v>
      </c>
      <c r="R41" s="8">
        <v>0</v>
      </c>
      <c r="S41" s="8">
        <v>0</v>
      </c>
      <c r="T41" s="8">
        <v>0</v>
      </c>
      <c r="U41" s="7">
        <v>0</v>
      </c>
      <c r="V41" s="7">
        <v>0</v>
      </c>
      <c r="W41" s="7">
        <v>0</v>
      </c>
      <c r="X41" s="7">
        <v>0</v>
      </c>
      <c r="Y41" s="7">
        <v>0</v>
      </c>
      <c r="Z41" s="7">
        <v>0</v>
      </c>
      <c r="AA41" s="7">
        <v>0</v>
      </c>
      <c r="AB41" s="7">
        <v>0</v>
      </c>
      <c r="AC41" s="7">
        <v>0</v>
      </c>
      <c r="AD41" s="7">
        <v>0</v>
      </c>
      <c r="AE41" s="7">
        <v>0</v>
      </c>
      <c r="AF41" s="7">
        <v>0</v>
      </c>
      <c r="AG41" s="7">
        <v>0</v>
      </c>
      <c r="AH41" s="7">
        <v>0</v>
      </c>
      <c r="AI41" s="7">
        <v>0</v>
      </c>
      <c r="AJ41" s="7">
        <v>0</v>
      </c>
      <c r="AK41" s="7">
        <v>0</v>
      </c>
      <c r="AL41" s="7">
        <v>0</v>
      </c>
      <c r="AM41" s="7">
        <v>1</v>
      </c>
      <c r="AN41" s="7">
        <v>1</v>
      </c>
      <c r="AO41" s="7">
        <v>1</v>
      </c>
      <c r="AP41" s="7">
        <v>1</v>
      </c>
      <c r="AQ41" s="7">
        <v>1</v>
      </c>
      <c r="AR41" s="7">
        <v>1</v>
      </c>
      <c r="AS41" s="7">
        <v>1</v>
      </c>
      <c r="AT41" s="7">
        <v>1</v>
      </c>
      <c r="AU41" s="7">
        <v>1</v>
      </c>
      <c r="AV41" s="7">
        <v>1</v>
      </c>
      <c r="AW41" s="7">
        <v>1</v>
      </c>
      <c r="AX41" s="7">
        <v>1</v>
      </c>
      <c r="AY41" s="7">
        <v>1</v>
      </c>
      <c r="AZ41" s="7">
        <v>1</v>
      </c>
      <c r="BA41" s="7">
        <v>1</v>
      </c>
      <c r="BB41" s="7">
        <v>1</v>
      </c>
      <c r="BC41" s="7">
        <v>1</v>
      </c>
      <c r="BD41" s="7">
        <v>1</v>
      </c>
      <c r="BE41" s="7">
        <v>1</v>
      </c>
      <c r="BF41" s="7">
        <v>1</v>
      </c>
      <c r="BG41" s="7">
        <v>1</v>
      </c>
      <c r="BH41" s="7">
        <v>1</v>
      </c>
      <c r="BI41" s="7">
        <v>1</v>
      </c>
      <c r="BJ41" s="7">
        <v>1</v>
      </c>
    </row>
    <row r="42" spans="4:62" x14ac:dyDescent="0.2">
      <c r="D42" t="str">
        <v>33 out of 57</v>
      </c>
      <c r="L42">
        <v>17</v>
      </c>
      <c r="M42" s="8">
        <v>0</v>
      </c>
      <c r="N42" s="8">
        <v>0</v>
      </c>
      <c r="O42" s="8">
        <v>0</v>
      </c>
      <c r="P42" s="8">
        <v>0</v>
      </c>
      <c r="Q42" s="8">
        <v>0</v>
      </c>
      <c r="R42" s="8">
        <v>0</v>
      </c>
      <c r="S42" s="8">
        <v>0</v>
      </c>
      <c r="T42" s="8">
        <v>0</v>
      </c>
      <c r="U42" s="7">
        <v>0</v>
      </c>
      <c r="V42" s="7">
        <v>0</v>
      </c>
      <c r="W42" s="7">
        <v>0</v>
      </c>
      <c r="X42" s="7">
        <v>0</v>
      </c>
      <c r="Y42" s="7">
        <v>0</v>
      </c>
      <c r="Z42" s="7">
        <v>0</v>
      </c>
      <c r="AA42" s="7">
        <v>0</v>
      </c>
      <c r="AB42" s="7">
        <v>0</v>
      </c>
      <c r="AC42" s="7">
        <v>0</v>
      </c>
      <c r="AD42" s="7">
        <v>0</v>
      </c>
      <c r="AE42" s="7">
        <v>0</v>
      </c>
      <c r="AF42" s="7">
        <v>0</v>
      </c>
      <c r="AG42" s="7">
        <v>0</v>
      </c>
      <c r="AH42" s="7">
        <v>0</v>
      </c>
      <c r="AI42" s="7">
        <v>0</v>
      </c>
      <c r="AJ42" s="7">
        <v>0</v>
      </c>
      <c r="AK42" s="7">
        <v>0</v>
      </c>
      <c r="AL42" s="7">
        <v>0</v>
      </c>
      <c r="AM42" s="7">
        <v>0</v>
      </c>
      <c r="AN42" s="7">
        <v>1</v>
      </c>
      <c r="AO42" s="7">
        <v>1</v>
      </c>
      <c r="AP42" s="7">
        <v>1</v>
      </c>
      <c r="AQ42" s="7">
        <v>1</v>
      </c>
      <c r="AR42" s="7">
        <v>1</v>
      </c>
      <c r="AS42" s="7">
        <v>1</v>
      </c>
      <c r="AT42" s="7">
        <v>1</v>
      </c>
      <c r="AU42" s="7">
        <v>1</v>
      </c>
      <c r="AV42" s="7">
        <v>1</v>
      </c>
      <c r="AW42" s="7">
        <v>1</v>
      </c>
      <c r="AX42" s="7">
        <v>1</v>
      </c>
      <c r="AY42" s="7">
        <v>1</v>
      </c>
      <c r="AZ42" s="7">
        <v>1</v>
      </c>
      <c r="BA42" s="7">
        <v>1</v>
      </c>
      <c r="BB42" s="7">
        <v>1</v>
      </c>
      <c r="BC42" s="7">
        <v>1</v>
      </c>
      <c r="BD42" s="7">
        <v>1</v>
      </c>
      <c r="BE42" s="7">
        <v>1</v>
      </c>
      <c r="BF42" s="7">
        <v>1</v>
      </c>
      <c r="BG42" s="7">
        <v>1</v>
      </c>
      <c r="BH42" s="7">
        <v>1</v>
      </c>
      <c r="BI42" s="7">
        <v>1</v>
      </c>
      <c r="BJ42" s="7">
        <v>1</v>
      </c>
    </row>
    <row r="43" spans="4:62" x14ac:dyDescent="0.2">
      <c r="D43" t="str">
        <v>34 out of 59</v>
      </c>
      <c r="L43">
        <v>18</v>
      </c>
      <c r="M43" s="8">
        <v>0</v>
      </c>
      <c r="N43" s="8">
        <v>0</v>
      </c>
      <c r="O43" s="8">
        <v>0</v>
      </c>
      <c r="P43" s="8">
        <v>0</v>
      </c>
      <c r="Q43" s="8">
        <v>0</v>
      </c>
      <c r="R43" s="8">
        <v>0</v>
      </c>
      <c r="S43" s="8">
        <v>0</v>
      </c>
      <c r="T43" s="8">
        <v>0</v>
      </c>
      <c r="U43" s="7">
        <v>0</v>
      </c>
      <c r="V43" s="7">
        <v>0</v>
      </c>
      <c r="W43" s="7">
        <v>0</v>
      </c>
      <c r="X43" s="7">
        <v>0</v>
      </c>
      <c r="Y43" s="7">
        <v>0</v>
      </c>
      <c r="Z43" s="7">
        <v>0</v>
      </c>
      <c r="AA43" s="7">
        <v>0</v>
      </c>
      <c r="AB43" s="7">
        <v>0</v>
      </c>
      <c r="AC43" s="7">
        <v>0</v>
      </c>
      <c r="AD43" s="7">
        <v>0</v>
      </c>
      <c r="AE43" s="7">
        <v>0</v>
      </c>
      <c r="AF43" s="7">
        <v>0</v>
      </c>
      <c r="AG43" s="7">
        <v>0</v>
      </c>
      <c r="AH43" s="7">
        <v>0</v>
      </c>
      <c r="AI43" s="7">
        <v>0</v>
      </c>
      <c r="AJ43" s="7">
        <v>0</v>
      </c>
      <c r="AK43" s="7">
        <v>0</v>
      </c>
      <c r="AL43" s="7">
        <v>0</v>
      </c>
      <c r="AM43" s="7">
        <v>0</v>
      </c>
      <c r="AN43" s="7">
        <v>0</v>
      </c>
      <c r="AO43" s="7">
        <v>1</v>
      </c>
      <c r="AP43" s="7">
        <v>1</v>
      </c>
      <c r="AQ43" s="7">
        <v>1</v>
      </c>
      <c r="AR43" s="7">
        <v>1</v>
      </c>
      <c r="AS43" s="7">
        <v>1</v>
      </c>
      <c r="AT43" s="7">
        <v>1</v>
      </c>
      <c r="AU43" s="7">
        <v>1</v>
      </c>
      <c r="AV43" s="7">
        <v>1</v>
      </c>
      <c r="AW43" s="7">
        <v>1</v>
      </c>
      <c r="AX43" s="7">
        <v>1</v>
      </c>
      <c r="AY43" s="7">
        <v>1</v>
      </c>
      <c r="AZ43" s="7">
        <v>1</v>
      </c>
      <c r="BA43" s="7">
        <v>1</v>
      </c>
      <c r="BB43" s="7">
        <v>1</v>
      </c>
      <c r="BC43" s="7">
        <v>1</v>
      </c>
      <c r="BD43" s="7">
        <v>1</v>
      </c>
      <c r="BE43" s="7">
        <v>1</v>
      </c>
      <c r="BF43" s="7">
        <v>1</v>
      </c>
      <c r="BG43" s="7">
        <v>1</v>
      </c>
      <c r="BH43" s="7">
        <v>1</v>
      </c>
      <c r="BI43" s="7">
        <v>1</v>
      </c>
      <c r="BJ43" s="7">
        <v>1</v>
      </c>
    </row>
    <row r="44" spans="4:62" x14ac:dyDescent="0.2">
      <c r="D44" t="str">
        <v>35 out of 61</v>
      </c>
      <c r="L44">
        <v>19</v>
      </c>
      <c r="M44" s="8">
        <v>0</v>
      </c>
      <c r="N44" s="8">
        <v>0</v>
      </c>
      <c r="O44" s="8">
        <v>0</v>
      </c>
      <c r="P44" s="8">
        <v>0</v>
      </c>
      <c r="Q44" s="8">
        <v>0</v>
      </c>
      <c r="R44" s="8">
        <v>0</v>
      </c>
      <c r="S44" s="8">
        <v>0</v>
      </c>
      <c r="T44" s="8">
        <v>0</v>
      </c>
      <c r="U44" s="7">
        <v>0</v>
      </c>
      <c r="V44" s="7">
        <v>0</v>
      </c>
      <c r="W44" s="7">
        <v>0</v>
      </c>
      <c r="X44" s="7">
        <v>0</v>
      </c>
      <c r="Y44" s="7">
        <v>0</v>
      </c>
      <c r="Z44" s="7">
        <v>0</v>
      </c>
      <c r="AA44" s="7">
        <v>0</v>
      </c>
      <c r="AB44" s="7">
        <v>0</v>
      </c>
      <c r="AC44" s="7">
        <v>0</v>
      </c>
      <c r="AD44" s="7">
        <v>0</v>
      </c>
      <c r="AE44" s="7">
        <v>0</v>
      </c>
      <c r="AF44" s="7">
        <v>0</v>
      </c>
      <c r="AG44" s="7">
        <v>0</v>
      </c>
      <c r="AH44" s="7">
        <v>0</v>
      </c>
      <c r="AI44" s="7">
        <v>0</v>
      </c>
      <c r="AJ44" s="7">
        <v>0</v>
      </c>
      <c r="AK44" s="7">
        <v>0</v>
      </c>
      <c r="AL44" s="7">
        <v>0</v>
      </c>
      <c r="AM44" s="7">
        <v>0</v>
      </c>
      <c r="AN44" s="7">
        <v>0</v>
      </c>
      <c r="AO44" s="7">
        <v>0</v>
      </c>
      <c r="AP44" s="7">
        <v>1</v>
      </c>
      <c r="AQ44" s="7">
        <v>1</v>
      </c>
      <c r="AR44" s="7">
        <v>1</v>
      </c>
      <c r="AS44" s="7">
        <v>1</v>
      </c>
      <c r="AT44" s="7">
        <v>1</v>
      </c>
      <c r="AU44" s="7">
        <v>1</v>
      </c>
      <c r="AV44" s="7">
        <v>1</v>
      </c>
      <c r="AW44" s="7">
        <v>1</v>
      </c>
      <c r="AX44" s="7">
        <v>1</v>
      </c>
      <c r="AY44" s="7">
        <v>1</v>
      </c>
      <c r="AZ44" s="7">
        <v>1</v>
      </c>
      <c r="BA44" s="7">
        <v>1</v>
      </c>
      <c r="BB44" s="7">
        <v>1</v>
      </c>
      <c r="BC44" s="7">
        <v>1</v>
      </c>
      <c r="BD44" s="7">
        <v>1</v>
      </c>
      <c r="BE44" s="7">
        <v>1</v>
      </c>
      <c r="BF44" s="7">
        <v>1</v>
      </c>
      <c r="BG44" s="7">
        <v>1</v>
      </c>
      <c r="BH44" s="7">
        <v>1</v>
      </c>
      <c r="BI44" s="7">
        <v>1</v>
      </c>
      <c r="BJ44" s="7">
        <v>1</v>
      </c>
    </row>
    <row r="45" spans="4:62" x14ac:dyDescent="0.2">
      <c r="D45" t="str">
        <v>36 out of 64</v>
      </c>
      <c r="L45">
        <v>20</v>
      </c>
      <c r="M45" s="8">
        <v>0</v>
      </c>
      <c r="N45" s="8">
        <v>0</v>
      </c>
      <c r="O45" s="8">
        <v>0</v>
      </c>
      <c r="P45" s="8">
        <v>0</v>
      </c>
      <c r="Q45" s="8">
        <v>0</v>
      </c>
      <c r="R45" s="8">
        <v>0</v>
      </c>
      <c r="S45" s="8">
        <v>0</v>
      </c>
      <c r="T45" s="8">
        <v>0</v>
      </c>
      <c r="U45" s="7">
        <v>0</v>
      </c>
      <c r="V45" s="7">
        <v>0</v>
      </c>
      <c r="W45" s="7">
        <v>0</v>
      </c>
      <c r="X45" s="7">
        <v>0</v>
      </c>
      <c r="Y45" s="7">
        <v>0</v>
      </c>
      <c r="Z45" s="7">
        <v>0</v>
      </c>
      <c r="AA45" s="7">
        <v>0</v>
      </c>
      <c r="AB45" s="7">
        <v>0</v>
      </c>
      <c r="AC45" s="7">
        <v>0</v>
      </c>
      <c r="AD45" s="7">
        <v>0</v>
      </c>
      <c r="AE45" s="7">
        <v>0</v>
      </c>
      <c r="AF45" s="7">
        <v>0</v>
      </c>
      <c r="AG45" s="7">
        <v>0</v>
      </c>
      <c r="AH45" s="7">
        <v>0</v>
      </c>
      <c r="AI45" s="7">
        <v>0</v>
      </c>
      <c r="AJ45" s="7">
        <v>0</v>
      </c>
      <c r="AK45" s="7">
        <v>0</v>
      </c>
      <c r="AL45" s="7">
        <v>0</v>
      </c>
      <c r="AM45" s="7">
        <v>0</v>
      </c>
      <c r="AN45" s="7">
        <v>0</v>
      </c>
      <c r="AO45" s="7">
        <v>0</v>
      </c>
      <c r="AP45" s="7">
        <v>1</v>
      </c>
      <c r="AQ45" s="7">
        <v>1</v>
      </c>
      <c r="AR45" s="7">
        <v>1</v>
      </c>
      <c r="AS45" s="7">
        <v>1</v>
      </c>
      <c r="AT45" s="7">
        <v>1</v>
      </c>
      <c r="AU45" s="7">
        <v>1</v>
      </c>
      <c r="AV45" s="7">
        <v>1</v>
      </c>
      <c r="AW45" s="7">
        <v>1</v>
      </c>
      <c r="AX45" s="7">
        <v>1</v>
      </c>
      <c r="AY45" s="7">
        <v>1</v>
      </c>
      <c r="AZ45" s="7">
        <v>1</v>
      </c>
      <c r="BA45" s="7">
        <v>1</v>
      </c>
      <c r="BB45" s="7">
        <v>1</v>
      </c>
      <c r="BC45" s="7">
        <v>1</v>
      </c>
      <c r="BD45" s="7">
        <v>1</v>
      </c>
      <c r="BE45" s="7">
        <v>1</v>
      </c>
      <c r="BF45" s="7">
        <v>1</v>
      </c>
      <c r="BG45" s="7">
        <v>1</v>
      </c>
      <c r="BH45" s="7">
        <v>1</v>
      </c>
      <c r="BI45" s="7">
        <v>1</v>
      </c>
      <c r="BJ45" s="7">
        <v>1</v>
      </c>
    </row>
    <row r="46" spans="4:62" x14ac:dyDescent="0.2">
      <c r="D46" t="str">
        <v>37 out of 66</v>
      </c>
      <c r="L46">
        <v>21</v>
      </c>
      <c r="M46" s="8">
        <v>0</v>
      </c>
      <c r="N46" s="8">
        <v>0</v>
      </c>
      <c r="O46" s="8">
        <v>0</v>
      </c>
      <c r="P46" s="8">
        <v>0</v>
      </c>
      <c r="Q46" s="8">
        <v>0</v>
      </c>
      <c r="R46" s="8">
        <v>0</v>
      </c>
      <c r="S46" s="8">
        <v>0</v>
      </c>
      <c r="T46" s="8">
        <v>0</v>
      </c>
      <c r="U46" s="7">
        <v>0</v>
      </c>
      <c r="V46" s="7">
        <v>0</v>
      </c>
      <c r="W46" s="7">
        <v>0</v>
      </c>
      <c r="X46" s="7">
        <v>0</v>
      </c>
      <c r="Y46" s="7">
        <v>0</v>
      </c>
      <c r="Z46" s="7">
        <v>0</v>
      </c>
      <c r="AA46" s="7">
        <v>0</v>
      </c>
      <c r="AB46" s="7">
        <v>0</v>
      </c>
      <c r="AC46" s="7">
        <v>0</v>
      </c>
      <c r="AD46" s="7">
        <v>0</v>
      </c>
      <c r="AE46" s="7">
        <v>0</v>
      </c>
      <c r="AF46" s="7">
        <v>0</v>
      </c>
      <c r="AG46" s="7">
        <v>0</v>
      </c>
      <c r="AH46" s="7">
        <v>0</v>
      </c>
      <c r="AI46" s="7">
        <v>0</v>
      </c>
      <c r="AJ46" s="7">
        <v>0</v>
      </c>
      <c r="AK46" s="7">
        <v>0</v>
      </c>
      <c r="AL46" s="7">
        <v>0</v>
      </c>
      <c r="AM46" s="7">
        <v>0</v>
      </c>
      <c r="AN46" s="7">
        <v>0</v>
      </c>
      <c r="AO46" s="7">
        <v>0</v>
      </c>
      <c r="AP46" s="7">
        <v>0</v>
      </c>
      <c r="AQ46" s="7">
        <v>1</v>
      </c>
      <c r="AR46" s="7">
        <v>1</v>
      </c>
      <c r="AS46" s="7">
        <v>1</v>
      </c>
      <c r="AT46" s="7">
        <v>1</v>
      </c>
      <c r="AU46" s="7">
        <v>1</v>
      </c>
      <c r="AV46" s="7">
        <v>1</v>
      </c>
      <c r="AW46" s="7">
        <v>1</v>
      </c>
      <c r="AX46" s="7">
        <v>1</v>
      </c>
      <c r="AY46" s="7">
        <v>1</v>
      </c>
      <c r="AZ46" s="7">
        <v>1</v>
      </c>
      <c r="BA46" s="7">
        <v>1</v>
      </c>
      <c r="BB46" s="7">
        <v>1</v>
      </c>
      <c r="BC46" s="7">
        <v>1</v>
      </c>
      <c r="BD46" s="7">
        <v>1</v>
      </c>
      <c r="BE46" s="7">
        <v>1</v>
      </c>
      <c r="BF46" s="7">
        <v>1</v>
      </c>
      <c r="BG46" s="7">
        <v>1</v>
      </c>
      <c r="BH46" s="7">
        <v>1</v>
      </c>
      <c r="BI46" s="7">
        <v>1</v>
      </c>
      <c r="BJ46" s="7">
        <v>1</v>
      </c>
    </row>
    <row r="47" spans="4:62" x14ac:dyDescent="0.2">
      <c r="D47" t="str">
        <v>38 out of 69</v>
      </c>
      <c r="L47">
        <v>22</v>
      </c>
      <c r="M47" s="8">
        <v>0</v>
      </c>
      <c r="N47" s="8">
        <v>0</v>
      </c>
      <c r="O47" s="8">
        <v>0</v>
      </c>
      <c r="P47" s="8">
        <v>0</v>
      </c>
      <c r="Q47" s="8">
        <v>0</v>
      </c>
      <c r="R47" s="8">
        <v>0</v>
      </c>
      <c r="S47" s="8">
        <v>0</v>
      </c>
      <c r="T47" s="8">
        <v>0</v>
      </c>
      <c r="U47" s="7">
        <v>0</v>
      </c>
      <c r="V47" s="7">
        <v>0</v>
      </c>
      <c r="W47" s="7">
        <v>0</v>
      </c>
      <c r="X47" s="7">
        <v>0</v>
      </c>
      <c r="Y47" s="7">
        <v>0</v>
      </c>
      <c r="Z47" s="7">
        <v>0</v>
      </c>
      <c r="AA47" s="7">
        <v>0</v>
      </c>
      <c r="AB47" s="7">
        <v>0</v>
      </c>
      <c r="AC47" s="7">
        <v>0</v>
      </c>
      <c r="AD47" s="7">
        <v>0</v>
      </c>
      <c r="AE47" s="7">
        <v>0</v>
      </c>
      <c r="AF47" s="7">
        <v>0</v>
      </c>
      <c r="AG47" s="7">
        <v>0</v>
      </c>
      <c r="AH47" s="7">
        <v>0</v>
      </c>
      <c r="AI47" s="7">
        <v>0</v>
      </c>
      <c r="AJ47" s="7">
        <v>0</v>
      </c>
      <c r="AK47" s="7">
        <v>0</v>
      </c>
      <c r="AL47" s="7">
        <v>0</v>
      </c>
      <c r="AM47" s="7">
        <v>0</v>
      </c>
      <c r="AN47" s="7">
        <v>0</v>
      </c>
      <c r="AO47" s="7">
        <v>0</v>
      </c>
      <c r="AP47" s="7">
        <v>0</v>
      </c>
      <c r="AQ47" s="7">
        <v>0</v>
      </c>
      <c r="AR47" s="7">
        <v>1</v>
      </c>
      <c r="AS47" s="7">
        <v>1</v>
      </c>
      <c r="AT47" s="7">
        <v>1</v>
      </c>
      <c r="AU47" s="7">
        <v>1</v>
      </c>
      <c r="AV47" s="7">
        <v>1</v>
      </c>
      <c r="AW47" s="7">
        <v>1</v>
      </c>
      <c r="AX47" s="7">
        <v>1</v>
      </c>
      <c r="AY47" s="7">
        <v>1</v>
      </c>
      <c r="AZ47" s="7">
        <v>1</v>
      </c>
      <c r="BA47" s="7">
        <v>1</v>
      </c>
      <c r="BB47" s="7">
        <v>1</v>
      </c>
      <c r="BC47" s="7">
        <v>1</v>
      </c>
      <c r="BD47" s="7">
        <v>1</v>
      </c>
      <c r="BE47" s="7">
        <v>1</v>
      </c>
      <c r="BF47" s="7">
        <v>1</v>
      </c>
      <c r="BG47" s="7">
        <v>1</v>
      </c>
      <c r="BH47" s="7">
        <v>1</v>
      </c>
      <c r="BI47" s="7">
        <v>1</v>
      </c>
      <c r="BJ47" s="7">
        <v>1</v>
      </c>
    </row>
    <row r="48" spans="4:62" x14ac:dyDescent="0.2">
      <c r="D48" t="str">
        <v>39 out of 71</v>
      </c>
      <c r="L48">
        <v>23</v>
      </c>
      <c r="M48" s="8">
        <v>0</v>
      </c>
      <c r="N48" s="8">
        <v>0</v>
      </c>
      <c r="O48" s="8">
        <v>0</v>
      </c>
      <c r="P48" s="8">
        <v>0</v>
      </c>
      <c r="Q48" s="8">
        <v>0</v>
      </c>
      <c r="R48" s="8">
        <v>0</v>
      </c>
      <c r="S48" s="8">
        <v>0</v>
      </c>
      <c r="T48" s="8">
        <v>0</v>
      </c>
      <c r="U48" s="7">
        <v>0</v>
      </c>
      <c r="V48" s="7">
        <v>0</v>
      </c>
      <c r="W48" s="7">
        <v>0</v>
      </c>
      <c r="X48" s="7">
        <v>0</v>
      </c>
      <c r="Y48" s="7">
        <v>0</v>
      </c>
      <c r="Z48" s="7">
        <v>0</v>
      </c>
      <c r="AA48" s="7">
        <v>0</v>
      </c>
      <c r="AB48" s="7">
        <v>0</v>
      </c>
      <c r="AC48" s="7">
        <v>0</v>
      </c>
      <c r="AD48" s="7">
        <v>0</v>
      </c>
      <c r="AE48" s="7">
        <v>0</v>
      </c>
      <c r="AF48" s="7">
        <v>0</v>
      </c>
      <c r="AG48" s="7">
        <v>0</v>
      </c>
      <c r="AH48" s="7">
        <v>0</v>
      </c>
      <c r="AI48" s="7">
        <v>0</v>
      </c>
      <c r="AJ48" s="7">
        <v>0</v>
      </c>
      <c r="AK48" s="7">
        <v>0</v>
      </c>
      <c r="AL48" s="7">
        <v>0</v>
      </c>
      <c r="AM48" s="7">
        <v>0</v>
      </c>
      <c r="AN48" s="7">
        <v>0</v>
      </c>
      <c r="AO48" s="7">
        <v>0</v>
      </c>
      <c r="AP48" s="7">
        <v>0</v>
      </c>
      <c r="AQ48" s="7">
        <v>0</v>
      </c>
      <c r="AR48" s="7">
        <v>0</v>
      </c>
      <c r="AS48" s="7">
        <v>1</v>
      </c>
      <c r="AT48" s="7">
        <v>1</v>
      </c>
      <c r="AU48" s="7">
        <v>1</v>
      </c>
      <c r="AV48" s="7">
        <v>1</v>
      </c>
      <c r="AW48" s="7">
        <v>1</v>
      </c>
      <c r="AX48" s="7">
        <v>1</v>
      </c>
      <c r="AY48" s="7">
        <v>1</v>
      </c>
      <c r="AZ48" s="7">
        <v>1</v>
      </c>
      <c r="BA48" s="7">
        <v>1</v>
      </c>
      <c r="BB48" s="7">
        <v>1</v>
      </c>
      <c r="BC48" s="7">
        <v>1</v>
      </c>
      <c r="BD48" s="7">
        <v>1</v>
      </c>
      <c r="BE48" s="7">
        <v>1</v>
      </c>
      <c r="BF48" s="7">
        <v>1</v>
      </c>
      <c r="BG48" s="7">
        <v>1</v>
      </c>
      <c r="BH48" s="7">
        <v>1</v>
      </c>
      <c r="BI48" s="7">
        <v>1</v>
      </c>
      <c r="BJ48" s="7">
        <v>1</v>
      </c>
    </row>
    <row r="49" spans="4:62" x14ac:dyDescent="0.2">
      <c r="D49" t="str">
        <v>40 out of 74</v>
      </c>
      <c r="L49">
        <v>24</v>
      </c>
      <c r="M49" s="8">
        <v>0</v>
      </c>
      <c r="N49" s="8">
        <v>0</v>
      </c>
      <c r="O49" s="8">
        <v>0</v>
      </c>
      <c r="P49" s="8">
        <v>0</v>
      </c>
      <c r="Q49" s="8">
        <v>0</v>
      </c>
      <c r="R49" s="8">
        <v>0</v>
      </c>
      <c r="S49" s="8">
        <v>0</v>
      </c>
      <c r="T49" s="8">
        <v>0</v>
      </c>
      <c r="U49" s="7">
        <v>0</v>
      </c>
      <c r="V49" s="7">
        <v>0</v>
      </c>
      <c r="W49" s="7">
        <v>0</v>
      </c>
      <c r="X49" s="7">
        <v>0</v>
      </c>
      <c r="Y49" s="7">
        <v>0</v>
      </c>
      <c r="Z49" s="7">
        <v>0</v>
      </c>
      <c r="AA49" s="7">
        <v>0</v>
      </c>
      <c r="AB49" s="7">
        <v>0</v>
      </c>
      <c r="AC49" s="7">
        <v>0</v>
      </c>
      <c r="AD49" s="7">
        <v>0</v>
      </c>
      <c r="AE49" s="7">
        <v>0</v>
      </c>
      <c r="AF49" s="7">
        <v>0</v>
      </c>
      <c r="AG49" s="7">
        <v>0</v>
      </c>
      <c r="AH49" s="7">
        <v>0</v>
      </c>
      <c r="AI49" s="7">
        <v>0</v>
      </c>
      <c r="AJ49" s="7">
        <v>0</v>
      </c>
      <c r="AK49" s="7">
        <v>0</v>
      </c>
      <c r="AL49" s="7">
        <v>0</v>
      </c>
      <c r="AM49" s="7">
        <v>0</v>
      </c>
      <c r="AN49" s="7">
        <v>0</v>
      </c>
      <c r="AO49" s="7">
        <v>0</v>
      </c>
      <c r="AP49" s="7">
        <v>0</v>
      </c>
      <c r="AQ49" s="7">
        <v>0</v>
      </c>
      <c r="AR49" s="7">
        <v>0</v>
      </c>
      <c r="AS49" s="7">
        <v>1</v>
      </c>
      <c r="AT49" s="7">
        <v>1</v>
      </c>
      <c r="AU49" s="7">
        <v>1</v>
      </c>
      <c r="AV49" s="7">
        <v>1</v>
      </c>
      <c r="AW49" s="7">
        <v>1</v>
      </c>
      <c r="AX49" s="7">
        <v>1</v>
      </c>
      <c r="AY49" s="7">
        <v>1</v>
      </c>
      <c r="AZ49" s="7">
        <v>1</v>
      </c>
      <c r="BA49" s="7">
        <v>1</v>
      </c>
      <c r="BB49" s="7">
        <v>1</v>
      </c>
      <c r="BC49" s="7">
        <v>1</v>
      </c>
      <c r="BD49" s="7">
        <v>1</v>
      </c>
      <c r="BE49" s="7">
        <v>1</v>
      </c>
      <c r="BF49" s="7">
        <v>1</v>
      </c>
      <c r="BG49" s="7">
        <v>1</v>
      </c>
      <c r="BH49" s="7">
        <v>1</v>
      </c>
      <c r="BI49" s="7">
        <v>1</v>
      </c>
      <c r="BJ49" s="7">
        <v>1</v>
      </c>
    </row>
    <row r="50" spans="4:62" x14ac:dyDescent="0.2">
      <c r="D50" t="str">
        <v>41 out of 76</v>
      </c>
      <c r="L50">
        <v>25</v>
      </c>
      <c r="M50" s="8">
        <v>0</v>
      </c>
      <c r="N50" s="8">
        <v>0</v>
      </c>
      <c r="O50" s="8">
        <v>0</v>
      </c>
      <c r="P50" s="8">
        <v>0</v>
      </c>
      <c r="Q50" s="8">
        <v>0</v>
      </c>
      <c r="R50" s="8">
        <v>0</v>
      </c>
      <c r="S50" s="8">
        <v>0</v>
      </c>
      <c r="T50" s="8">
        <v>0</v>
      </c>
      <c r="U50" s="7">
        <v>0</v>
      </c>
      <c r="V50" s="7">
        <v>0</v>
      </c>
      <c r="W50" s="7">
        <v>0</v>
      </c>
      <c r="X50" s="7">
        <v>0</v>
      </c>
      <c r="Y50" s="7">
        <v>0</v>
      </c>
      <c r="Z50" s="7">
        <v>0</v>
      </c>
      <c r="AA50" s="7">
        <v>0</v>
      </c>
      <c r="AB50" s="7">
        <v>0</v>
      </c>
      <c r="AC50" s="7">
        <v>0</v>
      </c>
      <c r="AD50" s="7">
        <v>0</v>
      </c>
      <c r="AE50" s="7">
        <v>0</v>
      </c>
      <c r="AF50" s="7">
        <v>0</v>
      </c>
      <c r="AG50" s="7">
        <v>0</v>
      </c>
      <c r="AH50" s="7">
        <v>0</v>
      </c>
      <c r="AI50" s="7">
        <v>0</v>
      </c>
      <c r="AJ50" s="7">
        <v>0</v>
      </c>
      <c r="AK50" s="7">
        <v>0</v>
      </c>
      <c r="AL50" s="7">
        <v>0</v>
      </c>
      <c r="AM50" s="7">
        <v>0</v>
      </c>
      <c r="AN50" s="7">
        <v>0</v>
      </c>
      <c r="AO50" s="7">
        <v>0</v>
      </c>
      <c r="AP50" s="7">
        <v>0</v>
      </c>
      <c r="AQ50" s="7">
        <v>0</v>
      </c>
      <c r="AR50" s="7">
        <v>0</v>
      </c>
      <c r="AS50" s="7">
        <v>0</v>
      </c>
      <c r="AT50" s="7">
        <v>1</v>
      </c>
      <c r="AU50" s="7">
        <v>1</v>
      </c>
      <c r="AV50" s="7">
        <v>1</v>
      </c>
      <c r="AW50" s="7">
        <v>1</v>
      </c>
      <c r="AX50" s="7">
        <v>1</v>
      </c>
      <c r="AY50" s="7">
        <v>1</v>
      </c>
      <c r="AZ50" s="7">
        <v>1</v>
      </c>
      <c r="BA50" s="7">
        <v>1</v>
      </c>
      <c r="BB50" s="7">
        <v>1</v>
      </c>
      <c r="BC50" s="7">
        <v>1</v>
      </c>
      <c r="BD50" s="7">
        <v>1</v>
      </c>
      <c r="BE50" s="7">
        <v>1</v>
      </c>
      <c r="BF50" s="7">
        <v>1</v>
      </c>
      <c r="BG50" s="7">
        <v>1</v>
      </c>
      <c r="BH50" s="7">
        <v>1</v>
      </c>
      <c r="BI50" s="7">
        <v>1</v>
      </c>
      <c r="BJ50" s="7">
        <v>1</v>
      </c>
    </row>
    <row r="51" spans="4:62" x14ac:dyDescent="0.2">
      <c r="D51" t="str">
        <v>42 out of 79</v>
      </c>
      <c r="L51">
        <v>26</v>
      </c>
      <c r="M51" s="8">
        <v>0</v>
      </c>
      <c r="N51" s="8">
        <v>0</v>
      </c>
      <c r="O51" s="8">
        <v>0</v>
      </c>
      <c r="P51" s="8">
        <v>0</v>
      </c>
      <c r="Q51" s="8">
        <v>0</v>
      </c>
      <c r="R51" s="8">
        <v>0</v>
      </c>
      <c r="S51" s="8">
        <v>0</v>
      </c>
      <c r="T51" s="8">
        <v>0</v>
      </c>
      <c r="U51" s="7">
        <v>0</v>
      </c>
      <c r="V51" s="7">
        <v>0</v>
      </c>
      <c r="W51" s="7">
        <v>0</v>
      </c>
      <c r="X51" s="7">
        <v>0</v>
      </c>
      <c r="Y51" s="7">
        <v>0</v>
      </c>
      <c r="Z51" s="7">
        <v>0</v>
      </c>
      <c r="AA51" s="7">
        <v>0</v>
      </c>
      <c r="AB51" s="7">
        <v>0</v>
      </c>
      <c r="AC51" s="7">
        <v>0</v>
      </c>
      <c r="AD51" s="7">
        <v>0</v>
      </c>
      <c r="AE51" s="7">
        <v>0</v>
      </c>
      <c r="AF51" s="7">
        <v>0</v>
      </c>
      <c r="AG51" s="7">
        <v>0</v>
      </c>
      <c r="AH51" s="7">
        <v>0</v>
      </c>
      <c r="AI51" s="7">
        <v>0</v>
      </c>
      <c r="AJ51" s="7">
        <v>0</v>
      </c>
      <c r="AK51" s="7">
        <v>0</v>
      </c>
      <c r="AL51" s="7">
        <v>0</v>
      </c>
      <c r="AM51" s="7">
        <v>0</v>
      </c>
      <c r="AN51" s="7">
        <v>0</v>
      </c>
      <c r="AO51" s="7">
        <v>0</v>
      </c>
      <c r="AP51" s="7">
        <v>0</v>
      </c>
      <c r="AQ51" s="7">
        <v>0</v>
      </c>
      <c r="AR51" s="7">
        <v>0</v>
      </c>
      <c r="AS51" s="7">
        <v>0</v>
      </c>
      <c r="AT51" s="7">
        <v>0</v>
      </c>
      <c r="AU51" s="7">
        <v>1</v>
      </c>
      <c r="AV51" s="7">
        <v>1</v>
      </c>
      <c r="AW51" s="7">
        <v>1</v>
      </c>
      <c r="AX51" s="7">
        <v>1</v>
      </c>
      <c r="AY51" s="7">
        <v>1</v>
      </c>
      <c r="AZ51" s="7">
        <v>1</v>
      </c>
      <c r="BA51" s="7">
        <v>1</v>
      </c>
      <c r="BB51" s="7">
        <v>1</v>
      </c>
      <c r="BC51" s="7">
        <v>1</v>
      </c>
      <c r="BD51" s="7">
        <v>1</v>
      </c>
      <c r="BE51" s="7">
        <v>1</v>
      </c>
      <c r="BF51" s="7">
        <v>1</v>
      </c>
      <c r="BG51" s="7">
        <v>1</v>
      </c>
      <c r="BH51" s="7">
        <v>1</v>
      </c>
      <c r="BI51" s="7">
        <v>1</v>
      </c>
      <c r="BJ51" s="7">
        <v>1</v>
      </c>
    </row>
    <row r="52" spans="4:62" x14ac:dyDescent="0.2">
      <c r="D52" t="str">
        <v>43 out of 81</v>
      </c>
      <c r="L52">
        <v>27</v>
      </c>
      <c r="M52" s="8">
        <v>0</v>
      </c>
      <c r="N52" s="8">
        <v>0</v>
      </c>
      <c r="O52" s="8">
        <v>0</v>
      </c>
      <c r="P52" s="8">
        <v>0</v>
      </c>
      <c r="Q52" s="8">
        <v>0</v>
      </c>
      <c r="R52" s="8">
        <v>0</v>
      </c>
      <c r="S52" s="8">
        <v>0</v>
      </c>
      <c r="T52" s="8">
        <v>0</v>
      </c>
      <c r="U52" s="7">
        <v>0</v>
      </c>
      <c r="V52" s="7">
        <v>0</v>
      </c>
      <c r="W52" s="7">
        <v>0</v>
      </c>
      <c r="X52" s="7">
        <v>0</v>
      </c>
      <c r="Y52" s="7">
        <v>0</v>
      </c>
      <c r="Z52" s="7">
        <v>0</v>
      </c>
      <c r="AA52" s="7">
        <v>0</v>
      </c>
      <c r="AB52" s="7">
        <v>0</v>
      </c>
      <c r="AC52" s="7">
        <v>0</v>
      </c>
      <c r="AD52" s="7">
        <v>0</v>
      </c>
      <c r="AE52" s="7">
        <v>0</v>
      </c>
      <c r="AF52" s="7">
        <v>0</v>
      </c>
      <c r="AG52" s="7">
        <v>0</v>
      </c>
      <c r="AH52" s="7">
        <v>0</v>
      </c>
      <c r="AI52" s="7">
        <v>0</v>
      </c>
      <c r="AJ52" s="7">
        <v>0</v>
      </c>
      <c r="AK52" s="7">
        <v>0</v>
      </c>
      <c r="AL52" s="7">
        <v>0</v>
      </c>
      <c r="AM52" s="7">
        <v>0</v>
      </c>
      <c r="AN52" s="7">
        <v>0</v>
      </c>
      <c r="AO52" s="7">
        <v>0</v>
      </c>
      <c r="AP52" s="7">
        <v>0</v>
      </c>
      <c r="AQ52" s="7">
        <v>0</v>
      </c>
      <c r="AR52" s="7">
        <v>0</v>
      </c>
      <c r="AS52" s="7">
        <v>0</v>
      </c>
      <c r="AT52" s="7">
        <v>0</v>
      </c>
      <c r="AU52" s="7">
        <v>0</v>
      </c>
      <c r="AV52" s="7">
        <v>1</v>
      </c>
      <c r="AW52" s="7">
        <v>1</v>
      </c>
      <c r="AX52" s="7">
        <v>1</v>
      </c>
      <c r="AY52" s="7">
        <v>1</v>
      </c>
      <c r="AZ52" s="7">
        <v>1</v>
      </c>
      <c r="BA52" s="7">
        <v>1</v>
      </c>
      <c r="BB52" s="7">
        <v>1</v>
      </c>
      <c r="BC52" s="7">
        <v>1</v>
      </c>
      <c r="BD52" s="7">
        <v>1</v>
      </c>
      <c r="BE52" s="7">
        <v>1</v>
      </c>
      <c r="BF52" s="7">
        <v>1</v>
      </c>
      <c r="BG52" s="7">
        <v>1</v>
      </c>
      <c r="BH52" s="7">
        <v>1</v>
      </c>
      <c r="BI52" s="7">
        <v>1</v>
      </c>
      <c r="BJ52" s="7">
        <v>1</v>
      </c>
    </row>
    <row r="53" spans="4:62" x14ac:dyDescent="0.2">
      <c r="D53" t="str">
        <v>44 out of 83</v>
      </c>
      <c r="L53">
        <v>28</v>
      </c>
      <c r="M53" s="8">
        <v>0</v>
      </c>
      <c r="N53" s="8">
        <v>0</v>
      </c>
      <c r="O53" s="8">
        <v>0</v>
      </c>
      <c r="P53" s="8">
        <v>0</v>
      </c>
      <c r="Q53" s="8">
        <v>0</v>
      </c>
      <c r="R53" s="8">
        <v>0</v>
      </c>
      <c r="S53" s="8">
        <v>0</v>
      </c>
      <c r="T53" s="8">
        <v>0</v>
      </c>
      <c r="U53" s="7">
        <v>0</v>
      </c>
      <c r="V53" s="7">
        <v>0</v>
      </c>
      <c r="W53" s="7">
        <v>0</v>
      </c>
      <c r="X53" s="7">
        <v>0</v>
      </c>
      <c r="Y53" s="7">
        <v>0</v>
      </c>
      <c r="Z53" s="7">
        <v>0</v>
      </c>
      <c r="AA53" s="7">
        <v>0</v>
      </c>
      <c r="AB53" s="7">
        <v>0</v>
      </c>
      <c r="AC53" s="7">
        <v>0</v>
      </c>
      <c r="AD53" s="7">
        <v>0</v>
      </c>
      <c r="AE53" s="7">
        <v>0</v>
      </c>
      <c r="AF53" s="7">
        <v>0</v>
      </c>
      <c r="AG53" s="7">
        <v>0</v>
      </c>
      <c r="AH53" s="7">
        <v>0</v>
      </c>
      <c r="AI53" s="7">
        <v>0</v>
      </c>
      <c r="AJ53" s="7">
        <v>0</v>
      </c>
      <c r="AK53" s="7">
        <v>0</v>
      </c>
      <c r="AL53" s="7">
        <v>0</v>
      </c>
      <c r="AM53" s="7">
        <v>0</v>
      </c>
      <c r="AN53" s="7">
        <v>0</v>
      </c>
      <c r="AO53" s="7">
        <v>0</v>
      </c>
      <c r="AP53" s="7">
        <v>0</v>
      </c>
      <c r="AQ53" s="7">
        <v>0</v>
      </c>
      <c r="AR53" s="7">
        <v>0</v>
      </c>
      <c r="AS53" s="7">
        <v>0</v>
      </c>
      <c r="AT53" s="7">
        <v>0</v>
      </c>
      <c r="AU53" s="7">
        <v>0</v>
      </c>
      <c r="AV53" s="7">
        <v>1</v>
      </c>
      <c r="AW53" s="7">
        <v>1</v>
      </c>
      <c r="AX53" s="7">
        <v>1</v>
      </c>
      <c r="AY53" s="7">
        <v>1</v>
      </c>
      <c r="AZ53" s="7">
        <v>1</v>
      </c>
      <c r="BA53" s="7">
        <v>1</v>
      </c>
      <c r="BB53" s="7">
        <v>1</v>
      </c>
      <c r="BC53" s="7">
        <v>1</v>
      </c>
      <c r="BD53" s="7">
        <v>1</v>
      </c>
      <c r="BE53" s="7">
        <v>1</v>
      </c>
      <c r="BF53" s="7">
        <v>1</v>
      </c>
      <c r="BG53" s="7">
        <v>1</v>
      </c>
      <c r="BH53" s="7">
        <v>1</v>
      </c>
      <c r="BI53" s="7">
        <v>1</v>
      </c>
      <c r="BJ53" s="7">
        <v>1</v>
      </c>
    </row>
    <row r="54" spans="4:62" x14ac:dyDescent="0.2">
      <c r="D54" t="str">
        <v>45 out of 86</v>
      </c>
      <c r="L54">
        <v>29</v>
      </c>
      <c r="M54" s="8">
        <v>0</v>
      </c>
      <c r="N54" s="8">
        <v>0</v>
      </c>
      <c r="O54" s="8">
        <v>0</v>
      </c>
      <c r="P54" s="8">
        <v>0</v>
      </c>
      <c r="Q54" s="8">
        <v>0</v>
      </c>
      <c r="R54" s="8">
        <v>0</v>
      </c>
      <c r="S54" s="8">
        <v>0</v>
      </c>
      <c r="T54" s="8">
        <v>0</v>
      </c>
      <c r="U54" s="7">
        <v>0</v>
      </c>
      <c r="V54" s="7">
        <v>0</v>
      </c>
      <c r="W54" s="7">
        <v>0</v>
      </c>
      <c r="X54" s="7">
        <v>0</v>
      </c>
      <c r="Y54" s="7">
        <v>0</v>
      </c>
      <c r="Z54" s="7">
        <v>0</v>
      </c>
      <c r="AA54" s="7">
        <v>0</v>
      </c>
      <c r="AB54" s="7">
        <v>0</v>
      </c>
      <c r="AC54" s="7">
        <v>0</v>
      </c>
      <c r="AD54" s="7">
        <v>0</v>
      </c>
      <c r="AE54" s="7">
        <v>0</v>
      </c>
      <c r="AF54" s="7">
        <v>0</v>
      </c>
      <c r="AG54" s="7">
        <v>0</v>
      </c>
      <c r="AH54" s="7">
        <v>0</v>
      </c>
      <c r="AI54" s="7">
        <v>0</v>
      </c>
      <c r="AJ54" s="7">
        <v>0</v>
      </c>
      <c r="AK54" s="7">
        <v>0</v>
      </c>
      <c r="AL54" s="7">
        <v>0</v>
      </c>
      <c r="AM54" s="7">
        <v>0</v>
      </c>
      <c r="AN54" s="7">
        <v>0</v>
      </c>
      <c r="AO54" s="7">
        <v>0</v>
      </c>
      <c r="AP54" s="7">
        <v>0</v>
      </c>
      <c r="AQ54" s="7">
        <v>0</v>
      </c>
      <c r="AR54" s="7">
        <v>0</v>
      </c>
      <c r="AS54" s="7">
        <v>0</v>
      </c>
      <c r="AT54" s="7">
        <v>0</v>
      </c>
      <c r="AU54" s="7">
        <v>0</v>
      </c>
      <c r="AV54" s="7">
        <v>0</v>
      </c>
      <c r="AW54" s="7">
        <v>1</v>
      </c>
      <c r="AX54" s="7">
        <v>1</v>
      </c>
      <c r="AY54" s="7">
        <v>1</v>
      </c>
      <c r="AZ54" s="7">
        <v>1</v>
      </c>
      <c r="BA54" s="7">
        <v>1</v>
      </c>
      <c r="BB54" s="7">
        <v>1</v>
      </c>
      <c r="BC54" s="7">
        <v>1</v>
      </c>
      <c r="BD54" s="7">
        <v>1</v>
      </c>
      <c r="BE54" s="7">
        <v>1</v>
      </c>
      <c r="BF54" s="7">
        <v>1</v>
      </c>
      <c r="BG54" s="7">
        <v>1</v>
      </c>
      <c r="BH54" s="7">
        <v>1</v>
      </c>
      <c r="BI54" s="7">
        <v>1</v>
      </c>
      <c r="BJ54" s="7">
        <v>1</v>
      </c>
    </row>
    <row r="55" spans="4:62" x14ac:dyDescent="0.2">
      <c r="D55" t="str">
        <v>46 out of 88</v>
      </c>
      <c r="L55">
        <v>30</v>
      </c>
      <c r="M55" s="8">
        <v>0</v>
      </c>
      <c r="N55" s="8">
        <v>0</v>
      </c>
      <c r="O55" s="8">
        <v>0</v>
      </c>
      <c r="P55" s="8">
        <v>0</v>
      </c>
      <c r="Q55" s="8">
        <v>0</v>
      </c>
      <c r="R55" s="8">
        <v>0</v>
      </c>
      <c r="S55" s="8">
        <v>0</v>
      </c>
      <c r="T55" s="8">
        <v>0</v>
      </c>
      <c r="U55" s="7">
        <v>0</v>
      </c>
      <c r="V55" s="7">
        <v>0</v>
      </c>
      <c r="W55" s="7">
        <v>0</v>
      </c>
      <c r="X55" s="7">
        <v>0</v>
      </c>
      <c r="Y55" s="7">
        <v>0</v>
      </c>
      <c r="Z55" s="7">
        <v>0</v>
      </c>
      <c r="AA55" s="7">
        <v>0</v>
      </c>
      <c r="AB55" s="7">
        <v>0</v>
      </c>
      <c r="AC55" s="7">
        <v>0</v>
      </c>
      <c r="AD55" s="7">
        <v>0</v>
      </c>
      <c r="AE55" s="7">
        <v>0</v>
      </c>
      <c r="AF55" s="7">
        <v>0</v>
      </c>
      <c r="AG55" s="7">
        <v>0</v>
      </c>
      <c r="AH55" s="7">
        <v>0</v>
      </c>
      <c r="AI55" s="7">
        <v>0</v>
      </c>
      <c r="AJ55" s="7">
        <v>0</v>
      </c>
      <c r="AK55" s="7">
        <v>0</v>
      </c>
      <c r="AL55" s="7">
        <v>0</v>
      </c>
      <c r="AM55" s="7">
        <v>0</v>
      </c>
      <c r="AN55" s="7">
        <v>0</v>
      </c>
      <c r="AO55" s="7">
        <v>0</v>
      </c>
      <c r="AP55" s="7">
        <v>0</v>
      </c>
      <c r="AQ55" s="7">
        <v>0</v>
      </c>
      <c r="AR55" s="7">
        <v>0</v>
      </c>
      <c r="AS55" s="7">
        <v>0</v>
      </c>
      <c r="AT55" s="7">
        <v>0</v>
      </c>
      <c r="AU55" s="7">
        <v>0</v>
      </c>
      <c r="AV55" s="7">
        <v>0</v>
      </c>
      <c r="AW55" s="7">
        <v>0</v>
      </c>
      <c r="AX55" s="7">
        <v>1</v>
      </c>
      <c r="AY55" s="7">
        <v>1</v>
      </c>
      <c r="AZ55" s="7">
        <v>1</v>
      </c>
      <c r="BA55" s="7">
        <v>1</v>
      </c>
      <c r="BB55" s="7">
        <v>1</v>
      </c>
      <c r="BC55" s="7">
        <v>1</v>
      </c>
      <c r="BD55" s="7">
        <v>1</v>
      </c>
      <c r="BE55" s="7">
        <v>1</v>
      </c>
      <c r="BF55" s="7">
        <v>1</v>
      </c>
      <c r="BG55" s="7">
        <v>1</v>
      </c>
      <c r="BH55" s="7">
        <v>1</v>
      </c>
      <c r="BI55" s="7">
        <v>1</v>
      </c>
      <c r="BJ55" s="7">
        <v>1</v>
      </c>
    </row>
    <row r="56" spans="4:62" x14ac:dyDescent="0.2">
      <c r="D56" t="str">
        <v>47 out of 91</v>
      </c>
      <c r="L56">
        <v>31</v>
      </c>
      <c r="M56" s="8">
        <v>0</v>
      </c>
      <c r="N56" s="8">
        <v>0</v>
      </c>
      <c r="O56" s="8">
        <v>0</v>
      </c>
      <c r="P56" s="8">
        <v>0</v>
      </c>
      <c r="Q56" s="8">
        <v>0</v>
      </c>
      <c r="R56" s="8">
        <v>0</v>
      </c>
      <c r="S56" s="8">
        <v>0</v>
      </c>
      <c r="T56" s="8">
        <v>0</v>
      </c>
      <c r="U56" s="7">
        <v>0</v>
      </c>
      <c r="V56" s="7">
        <v>0</v>
      </c>
      <c r="W56" s="7">
        <v>0</v>
      </c>
      <c r="X56" s="7">
        <v>0</v>
      </c>
      <c r="Y56" s="7">
        <v>0</v>
      </c>
      <c r="Z56" s="7">
        <v>0</v>
      </c>
      <c r="AA56" s="7">
        <v>0</v>
      </c>
      <c r="AB56" s="7">
        <v>0</v>
      </c>
      <c r="AC56" s="7">
        <v>0</v>
      </c>
      <c r="AD56" s="7">
        <v>0</v>
      </c>
      <c r="AE56" s="7">
        <v>0</v>
      </c>
      <c r="AF56" s="7">
        <v>0</v>
      </c>
      <c r="AG56" s="7">
        <v>0</v>
      </c>
      <c r="AH56" s="7">
        <v>0</v>
      </c>
      <c r="AI56" s="7">
        <v>0</v>
      </c>
      <c r="AJ56" s="7">
        <v>0</v>
      </c>
      <c r="AK56" s="7">
        <v>0</v>
      </c>
      <c r="AL56" s="7">
        <v>0</v>
      </c>
      <c r="AM56" s="7">
        <v>0</v>
      </c>
      <c r="AN56" s="7">
        <v>0</v>
      </c>
      <c r="AO56" s="7">
        <v>0</v>
      </c>
      <c r="AP56" s="7">
        <v>0</v>
      </c>
      <c r="AQ56" s="7">
        <v>0</v>
      </c>
      <c r="AR56" s="7">
        <v>0</v>
      </c>
      <c r="AS56" s="7">
        <v>0</v>
      </c>
      <c r="AT56" s="7">
        <v>0</v>
      </c>
      <c r="AU56" s="7">
        <v>0</v>
      </c>
      <c r="AV56" s="7">
        <v>0</v>
      </c>
      <c r="AW56" s="7">
        <v>0</v>
      </c>
      <c r="AX56" s="7">
        <v>1</v>
      </c>
      <c r="AY56" s="7">
        <v>1</v>
      </c>
      <c r="AZ56" s="7">
        <v>1</v>
      </c>
      <c r="BA56" s="7">
        <v>1</v>
      </c>
      <c r="BB56" s="7">
        <v>1</v>
      </c>
      <c r="BC56" s="7">
        <v>1</v>
      </c>
      <c r="BD56" s="7">
        <v>1</v>
      </c>
      <c r="BE56" s="7">
        <v>1</v>
      </c>
      <c r="BF56" s="7">
        <v>1</v>
      </c>
      <c r="BG56" s="7">
        <v>1</v>
      </c>
      <c r="BH56" s="7">
        <v>1</v>
      </c>
      <c r="BI56" s="7">
        <v>1</v>
      </c>
      <c r="BJ56" s="7">
        <v>1</v>
      </c>
    </row>
    <row r="57" spans="4:62" x14ac:dyDescent="0.2">
      <c r="D57" t="str">
        <v>48 out of 93</v>
      </c>
      <c r="L57">
        <v>32</v>
      </c>
      <c r="M57" s="8">
        <v>0</v>
      </c>
      <c r="N57" s="8">
        <v>0</v>
      </c>
      <c r="O57" s="8">
        <v>0</v>
      </c>
      <c r="P57" s="8">
        <v>0</v>
      </c>
      <c r="Q57" s="8">
        <v>0</v>
      </c>
      <c r="R57" s="8">
        <v>0</v>
      </c>
      <c r="S57" s="8">
        <v>0</v>
      </c>
      <c r="T57" s="8">
        <v>0</v>
      </c>
      <c r="U57" s="7">
        <v>0</v>
      </c>
      <c r="V57" s="7">
        <v>0</v>
      </c>
      <c r="W57" s="7">
        <v>0</v>
      </c>
      <c r="X57" s="7">
        <v>0</v>
      </c>
      <c r="Y57" s="7">
        <v>0</v>
      </c>
      <c r="Z57" s="7">
        <v>0</v>
      </c>
      <c r="AA57" s="7">
        <v>0</v>
      </c>
      <c r="AB57" s="7">
        <v>0</v>
      </c>
      <c r="AC57" s="7">
        <v>0</v>
      </c>
      <c r="AD57" s="7">
        <v>0</v>
      </c>
      <c r="AE57" s="7">
        <v>0</v>
      </c>
      <c r="AF57" s="7">
        <v>0</v>
      </c>
      <c r="AG57" s="7">
        <v>0</v>
      </c>
      <c r="AH57" s="7">
        <v>0</v>
      </c>
      <c r="AI57" s="7">
        <v>0</v>
      </c>
      <c r="AJ57" s="7">
        <v>0</v>
      </c>
      <c r="AK57" s="7">
        <v>0</v>
      </c>
      <c r="AL57" s="7">
        <v>0</v>
      </c>
      <c r="AM57" s="7">
        <v>0</v>
      </c>
      <c r="AN57" s="7">
        <v>0</v>
      </c>
      <c r="AO57" s="7">
        <v>0</v>
      </c>
      <c r="AP57" s="7">
        <v>0</v>
      </c>
      <c r="AQ57" s="7">
        <v>0</v>
      </c>
      <c r="AR57" s="7">
        <v>0</v>
      </c>
      <c r="AS57" s="7">
        <v>0</v>
      </c>
      <c r="AT57" s="7">
        <v>0</v>
      </c>
      <c r="AU57" s="7">
        <v>0</v>
      </c>
      <c r="AV57" s="7">
        <v>0</v>
      </c>
      <c r="AW57" s="7">
        <v>0</v>
      </c>
      <c r="AX57" s="7">
        <v>0</v>
      </c>
      <c r="AY57" s="7">
        <v>1</v>
      </c>
      <c r="AZ57" s="7">
        <v>1</v>
      </c>
      <c r="BA57" s="7">
        <v>1</v>
      </c>
      <c r="BB57" s="7">
        <v>1</v>
      </c>
      <c r="BC57" s="7">
        <v>1</v>
      </c>
      <c r="BD57" s="7">
        <v>1</v>
      </c>
      <c r="BE57" s="7">
        <v>1</v>
      </c>
      <c r="BF57" s="7">
        <v>1</v>
      </c>
      <c r="BG57" s="7">
        <v>1</v>
      </c>
      <c r="BH57" s="7">
        <v>1</v>
      </c>
      <c r="BI57" s="7">
        <v>1</v>
      </c>
      <c r="BJ57" s="7">
        <v>1</v>
      </c>
    </row>
    <row r="58" spans="4:62" x14ac:dyDescent="0.2">
      <c r="D58" t="str">
        <v>49 out of 96</v>
      </c>
      <c r="L58">
        <v>33</v>
      </c>
      <c r="M58" s="8">
        <v>0</v>
      </c>
      <c r="N58" s="8">
        <v>0</v>
      </c>
      <c r="O58" s="8">
        <v>0</v>
      </c>
      <c r="P58" s="8">
        <v>0</v>
      </c>
      <c r="Q58" s="8">
        <v>0</v>
      </c>
      <c r="R58" s="8">
        <v>0</v>
      </c>
      <c r="S58" s="8">
        <v>0</v>
      </c>
      <c r="T58" s="8">
        <v>0</v>
      </c>
      <c r="U58" s="7">
        <v>0</v>
      </c>
      <c r="V58" s="7">
        <v>0</v>
      </c>
      <c r="W58" s="7">
        <v>0</v>
      </c>
      <c r="X58" s="7">
        <v>0</v>
      </c>
      <c r="Y58" s="7">
        <v>0</v>
      </c>
      <c r="Z58" s="7">
        <v>0</v>
      </c>
      <c r="AA58" s="7">
        <v>0</v>
      </c>
      <c r="AB58" s="7">
        <v>0</v>
      </c>
      <c r="AC58" s="7">
        <v>0</v>
      </c>
      <c r="AD58" s="7">
        <v>0</v>
      </c>
      <c r="AE58" s="7">
        <v>0</v>
      </c>
      <c r="AF58" s="7">
        <v>0</v>
      </c>
      <c r="AG58" s="7">
        <v>0</v>
      </c>
      <c r="AH58" s="7">
        <v>0</v>
      </c>
      <c r="AI58" s="7">
        <v>0</v>
      </c>
      <c r="AJ58" s="7">
        <v>0</v>
      </c>
      <c r="AK58" s="7">
        <v>0</v>
      </c>
      <c r="AL58" s="7">
        <v>0</v>
      </c>
      <c r="AM58" s="7">
        <v>0</v>
      </c>
      <c r="AN58" s="7">
        <v>0</v>
      </c>
      <c r="AO58" s="7">
        <v>0</v>
      </c>
      <c r="AP58" s="7">
        <v>0</v>
      </c>
      <c r="AQ58" s="7">
        <v>0</v>
      </c>
      <c r="AR58" s="7">
        <v>0</v>
      </c>
      <c r="AS58" s="7">
        <v>0</v>
      </c>
      <c r="AT58" s="7">
        <v>0</v>
      </c>
      <c r="AU58" s="7">
        <v>0</v>
      </c>
      <c r="AV58" s="7">
        <v>0</v>
      </c>
      <c r="AW58" s="7">
        <v>0</v>
      </c>
      <c r="AX58" s="7">
        <v>0</v>
      </c>
      <c r="AY58" s="7">
        <v>0</v>
      </c>
      <c r="AZ58" s="7">
        <v>1</v>
      </c>
      <c r="BA58" s="7">
        <v>1</v>
      </c>
      <c r="BB58" s="7">
        <v>1</v>
      </c>
      <c r="BC58" s="7">
        <v>1</v>
      </c>
      <c r="BD58" s="7">
        <v>1</v>
      </c>
      <c r="BE58" s="7">
        <v>1</v>
      </c>
      <c r="BF58" s="7">
        <v>1</v>
      </c>
      <c r="BG58" s="7">
        <v>1</v>
      </c>
      <c r="BH58" s="7">
        <v>1</v>
      </c>
      <c r="BI58" s="7">
        <v>1</v>
      </c>
      <c r="BJ58" s="7">
        <v>1</v>
      </c>
    </row>
    <row r="59" spans="4:62" x14ac:dyDescent="0.2">
      <c r="D59" t="str">
        <v>50 out of 99</v>
      </c>
      <c r="L59">
        <v>34</v>
      </c>
      <c r="M59" s="8">
        <v>0</v>
      </c>
      <c r="N59" s="8">
        <v>0</v>
      </c>
      <c r="O59" s="8">
        <v>0</v>
      </c>
      <c r="P59" s="8">
        <v>0</v>
      </c>
      <c r="Q59" s="8">
        <v>0</v>
      </c>
      <c r="R59" s="8">
        <v>0</v>
      </c>
      <c r="S59" s="8">
        <v>0</v>
      </c>
      <c r="T59" s="8">
        <v>0</v>
      </c>
      <c r="U59" s="7">
        <v>0</v>
      </c>
      <c r="V59" s="7">
        <v>0</v>
      </c>
      <c r="W59" s="7">
        <v>0</v>
      </c>
      <c r="X59" s="7">
        <v>0</v>
      </c>
      <c r="Y59" s="7">
        <v>0</v>
      </c>
      <c r="Z59" s="7">
        <v>0</v>
      </c>
      <c r="AA59" s="7">
        <v>0</v>
      </c>
      <c r="AB59" s="7">
        <v>0</v>
      </c>
      <c r="AC59" s="7">
        <v>0</v>
      </c>
      <c r="AD59" s="7">
        <v>0</v>
      </c>
      <c r="AE59" s="7">
        <v>0</v>
      </c>
      <c r="AF59" s="7">
        <v>0</v>
      </c>
      <c r="AG59" s="7">
        <v>0</v>
      </c>
      <c r="AH59" s="7">
        <v>0</v>
      </c>
      <c r="AI59" s="7">
        <v>0</v>
      </c>
      <c r="AJ59" s="7">
        <v>0</v>
      </c>
      <c r="AK59" s="7">
        <v>0</v>
      </c>
      <c r="AL59" s="7">
        <v>0</v>
      </c>
      <c r="AM59" s="7">
        <v>0</v>
      </c>
      <c r="AN59" s="7">
        <v>0</v>
      </c>
      <c r="AO59" s="7">
        <v>0</v>
      </c>
      <c r="AP59" s="7">
        <v>0</v>
      </c>
      <c r="AQ59" s="7">
        <v>0</v>
      </c>
      <c r="AR59" s="7">
        <v>0</v>
      </c>
      <c r="AS59" s="7">
        <v>0</v>
      </c>
      <c r="AT59" s="7">
        <v>0</v>
      </c>
      <c r="AU59" s="7">
        <v>0</v>
      </c>
      <c r="AV59" s="7">
        <v>0</v>
      </c>
      <c r="AW59" s="7">
        <v>0</v>
      </c>
      <c r="AX59" s="7">
        <v>0</v>
      </c>
      <c r="AY59" s="7">
        <v>0</v>
      </c>
      <c r="AZ59" s="7">
        <v>1</v>
      </c>
      <c r="BA59" s="7">
        <v>1</v>
      </c>
      <c r="BB59" s="7">
        <v>1</v>
      </c>
      <c r="BC59" s="7">
        <v>1</v>
      </c>
      <c r="BD59" s="7">
        <v>1</v>
      </c>
      <c r="BE59" s="7">
        <v>1</v>
      </c>
      <c r="BF59" s="7">
        <v>1</v>
      </c>
      <c r="BG59" s="7">
        <v>1</v>
      </c>
      <c r="BH59" s="7">
        <v>1</v>
      </c>
      <c r="BI59" s="7">
        <v>1</v>
      </c>
      <c r="BJ59" s="7">
        <v>1</v>
      </c>
    </row>
    <row r="60" spans="4:62" x14ac:dyDescent="0.2">
      <c r="L60">
        <v>35</v>
      </c>
      <c r="M60" s="8">
        <v>0</v>
      </c>
      <c r="N60" s="8">
        <v>0</v>
      </c>
      <c r="O60" s="8">
        <v>0</v>
      </c>
      <c r="P60" s="8">
        <v>0</v>
      </c>
      <c r="Q60" s="8">
        <v>0</v>
      </c>
      <c r="R60" s="8">
        <v>0</v>
      </c>
      <c r="S60" s="8">
        <v>0</v>
      </c>
      <c r="T60" s="8">
        <v>0</v>
      </c>
      <c r="U60" s="7">
        <v>0</v>
      </c>
      <c r="V60" s="7">
        <v>0</v>
      </c>
      <c r="W60" s="7">
        <v>0</v>
      </c>
      <c r="X60" s="7">
        <v>0</v>
      </c>
      <c r="Y60" s="7">
        <v>0</v>
      </c>
      <c r="Z60" s="7">
        <v>0</v>
      </c>
      <c r="AA60" s="7">
        <v>0</v>
      </c>
      <c r="AB60" s="7">
        <v>0</v>
      </c>
      <c r="AC60" s="7">
        <v>0</v>
      </c>
      <c r="AD60" s="7">
        <v>0</v>
      </c>
      <c r="AE60" s="7">
        <v>0</v>
      </c>
      <c r="AF60" s="7">
        <v>0</v>
      </c>
      <c r="AG60" s="7">
        <v>0</v>
      </c>
      <c r="AH60" s="7">
        <v>0</v>
      </c>
      <c r="AI60" s="7">
        <v>0</v>
      </c>
      <c r="AJ60" s="7">
        <v>0</v>
      </c>
      <c r="AK60" s="7">
        <v>0</v>
      </c>
      <c r="AL60" s="7">
        <v>0</v>
      </c>
      <c r="AM60" s="7">
        <v>0</v>
      </c>
      <c r="AN60" s="7">
        <v>0</v>
      </c>
      <c r="AO60" s="7">
        <v>0</v>
      </c>
      <c r="AP60" s="7">
        <v>0</v>
      </c>
      <c r="AQ60" s="7">
        <v>0</v>
      </c>
      <c r="AR60" s="7">
        <v>0</v>
      </c>
      <c r="AS60" s="7">
        <v>0</v>
      </c>
      <c r="AT60" s="7">
        <v>0</v>
      </c>
      <c r="AU60" s="7">
        <v>0</v>
      </c>
      <c r="AV60" s="7">
        <v>0</v>
      </c>
      <c r="AW60" s="7">
        <v>0</v>
      </c>
      <c r="AX60" s="7">
        <v>0</v>
      </c>
      <c r="AY60" s="7">
        <v>0</v>
      </c>
      <c r="AZ60" s="7">
        <v>0</v>
      </c>
      <c r="BA60" s="7">
        <v>1</v>
      </c>
      <c r="BB60" s="7">
        <v>1</v>
      </c>
      <c r="BC60" s="7">
        <v>1</v>
      </c>
      <c r="BD60" s="7">
        <v>1</v>
      </c>
      <c r="BE60" s="7">
        <v>1</v>
      </c>
      <c r="BF60" s="7">
        <v>1</v>
      </c>
      <c r="BG60" s="7">
        <v>1</v>
      </c>
      <c r="BH60" s="7">
        <v>1</v>
      </c>
      <c r="BI60" s="7">
        <v>1</v>
      </c>
      <c r="BJ60" s="7">
        <v>1</v>
      </c>
    </row>
    <row r="61" spans="4:62" x14ac:dyDescent="0.2">
      <c r="L61">
        <v>36</v>
      </c>
      <c r="M61" s="8">
        <v>0</v>
      </c>
      <c r="N61" s="8">
        <v>0</v>
      </c>
      <c r="O61" s="8">
        <v>0</v>
      </c>
      <c r="P61" s="8">
        <v>0</v>
      </c>
      <c r="Q61" s="8">
        <v>0</v>
      </c>
      <c r="R61" s="8">
        <v>0</v>
      </c>
      <c r="S61" s="8">
        <v>0</v>
      </c>
      <c r="T61" s="8">
        <v>0</v>
      </c>
      <c r="U61" s="7">
        <v>0</v>
      </c>
      <c r="V61" s="7">
        <v>0</v>
      </c>
      <c r="W61" s="7">
        <v>0</v>
      </c>
      <c r="X61" s="7">
        <v>0</v>
      </c>
      <c r="Y61" s="7">
        <v>0</v>
      </c>
      <c r="Z61" s="7">
        <v>0</v>
      </c>
      <c r="AA61" s="7">
        <v>0</v>
      </c>
      <c r="AB61" s="7">
        <v>0</v>
      </c>
      <c r="AC61" s="7">
        <v>0</v>
      </c>
      <c r="AD61" s="7">
        <v>0</v>
      </c>
      <c r="AE61" s="7">
        <v>0</v>
      </c>
      <c r="AF61" s="7">
        <v>0</v>
      </c>
      <c r="AG61" s="7">
        <v>0</v>
      </c>
      <c r="AH61" s="7">
        <v>0</v>
      </c>
      <c r="AI61" s="7">
        <v>0</v>
      </c>
      <c r="AJ61" s="7">
        <v>0</v>
      </c>
      <c r="AK61" s="7">
        <v>0</v>
      </c>
      <c r="AL61" s="7">
        <v>0</v>
      </c>
      <c r="AM61" s="7">
        <v>0</v>
      </c>
      <c r="AN61" s="7">
        <v>0</v>
      </c>
      <c r="AO61" s="7">
        <v>0</v>
      </c>
      <c r="AP61" s="7">
        <v>0</v>
      </c>
      <c r="AQ61" s="7">
        <v>0</v>
      </c>
      <c r="AR61" s="7">
        <v>0</v>
      </c>
      <c r="AS61" s="7">
        <v>0</v>
      </c>
      <c r="AT61" s="7">
        <v>0</v>
      </c>
      <c r="AU61" s="7">
        <v>0</v>
      </c>
      <c r="AV61" s="7">
        <v>0</v>
      </c>
      <c r="AW61" s="7">
        <v>0</v>
      </c>
      <c r="AX61" s="7">
        <v>0</v>
      </c>
      <c r="AY61" s="7">
        <v>0</v>
      </c>
      <c r="AZ61" s="7">
        <v>0</v>
      </c>
      <c r="BA61" s="7">
        <v>0</v>
      </c>
      <c r="BB61" s="7">
        <v>1</v>
      </c>
      <c r="BC61" s="7">
        <v>1</v>
      </c>
      <c r="BD61" s="7">
        <v>1</v>
      </c>
      <c r="BE61" s="7">
        <v>1</v>
      </c>
      <c r="BF61" s="7">
        <v>1</v>
      </c>
      <c r="BG61" s="7">
        <v>1</v>
      </c>
      <c r="BH61" s="7">
        <v>1</v>
      </c>
      <c r="BI61" s="7">
        <v>1</v>
      </c>
      <c r="BJ61" s="7">
        <v>1</v>
      </c>
    </row>
    <row r="62" spans="4:62" x14ac:dyDescent="0.2">
      <c r="L62">
        <v>37</v>
      </c>
      <c r="M62" s="8">
        <v>0</v>
      </c>
      <c r="N62" s="8">
        <v>0</v>
      </c>
      <c r="O62" s="8">
        <v>0</v>
      </c>
      <c r="P62" s="8">
        <v>0</v>
      </c>
      <c r="Q62" s="8">
        <v>0</v>
      </c>
      <c r="R62" s="8">
        <v>0</v>
      </c>
      <c r="S62" s="8">
        <v>0</v>
      </c>
      <c r="T62" s="8">
        <v>0</v>
      </c>
      <c r="U62" s="7">
        <v>0</v>
      </c>
      <c r="V62" s="7">
        <v>0</v>
      </c>
      <c r="W62" s="7">
        <v>0</v>
      </c>
      <c r="X62" s="7">
        <v>0</v>
      </c>
      <c r="Y62" s="7">
        <v>0</v>
      </c>
      <c r="Z62" s="7">
        <v>0</v>
      </c>
      <c r="AA62" s="7">
        <v>0</v>
      </c>
      <c r="AB62" s="7">
        <v>0</v>
      </c>
      <c r="AC62" s="7">
        <v>0</v>
      </c>
      <c r="AD62" s="7">
        <v>0</v>
      </c>
      <c r="AE62" s="7">
        <v>0</v>
      </c>
      <c r="AF62" s="7">
        <v>0</v>
      </c>
      <c r="AG62" s="7">
        <v>0</v>
      </c>
      <c r="AH62" s="7">
        <v>0</v>
      </c>
      <c r="AI62" s="7">
        <v>0</v>
      </c>
      <c r="AJ62" s="7">
        <v>0</v>
      </c>
      <c r="AK62" s="7">
        <v>0</v>
      </c>
      <c r="AL62" s="7">
        <v>0</v>
      </c>
      <c r="AM62" s="7">
        <v>0</v>
      </c>
      <c r="AN62" s="7">
        <v>0</v>
      </c>
      <c r="AO62" s="7">
        <v>0</v>
      </c>
      <c r="AP62" s="7">
        <v>0</v>
      </c>
      <c r="AQ62" s="7">
        <v>0</v>
      </c>
      <c r="AR62" s="7">
        <v>0</v>
      </c>
      <c r="AS62" s="7">
        <v>0</v>
      </c>
      <c r="AT62" s="7">
        <v>0</v>
      </c>
      <c r="AU62" s="7">
        <v>0</v>
      </c>
      <c r="AV62" s="7">
        <v>0</v>
      </c>
      <c r="AW62" s="7">
        <v>0</v>
      </c>
      <c r="AX62" s="7">
        <v>0</v>
      </c>
      <c r="AY62" s="7">
        <v>0</v>
      </c>
      <c r="AZ62" s="7">
        <v>0</v>
      </c>
      <c r="BA62" s="7">
        <v>0</v>
      </c>
      <c r="BB62" s="7">
        <v>1</v>
      </c>
      <c r="BC62" s="7">
        <v>1</v>
      </c>
      <c r="BD62" s="7">
        <v>1</v>
      </c>
      <c r="BE62" s="7">
        <v>1</v>
      </c>
      <c r="BF62" s="7">
        <v>1</v>
      </c>
      <c r="BG62" s="7">
        <v>1</v>
      </c>
      <c r="BH62" s="7">
        <v>1</v>
      </c>
      <c r="BI62" s="7">
        <v>1</v>
      </c>
      <c r="BJ62" s="7">
        <v>1</v>
      </c>
    </row>
    <row r="63" spans="4:62" x14ac:dyDescent="0.2">
      <c r="L63">
        <v>38</v>
      </c>
      <c r="M63" s="8">
        <v>0</v>
      </c>
      <c r="N63" s="8">
        <v>0</v>
      </c>
      <c r="O63" s="8">
        <v>0</v>
      </c>
      <c r="P63" s="8">
        <v>0</v>
      </c>
      <c r="Q63" s="8">
        <v>0</v>
      </c>
      <c r="R63" s="8">
        <v>0</v>
      </c>
      <c r="S63" s="8">
        <v>0</v>
      </c>
      <c r="T63" s="8">
        <v>0</v>
      </c>
      <c r="U63" s="7">
        <v>0</v>
      </c>
      <c r="V63" s="7">
        <v>0</v>
      </c>
      <c r="W63" s="7">
        <v>0</v>
      </c>
      <c r="X63" s="7">
        <v>0</v>
      </c>
      <c r="Y63" s="7">
        <v>0</v>
      </c>
      <c r="Z63" s="7">
        <v>0</v>
      </c>
      <c r="AA63" s="7">
        <v>0</v>
      </c>
      <c r="AB63" s="7">
        <v>0</v>
      </c>
      <c r="AC63" s="7">
        <v>0</v>
      </c>
      <c r="AD63" s="7">
        <v>0</v>
      </c>
      <c r="AE63" s="7">
        <v>0</v>
      </c>
      <c r="AF63" s="7">
        <v>0</v>
      </c>
      <c r="AG63" s="7">
        <v>0</v>
      </c>
      <c r="AH63" s="7">
        <v>0</v>
      </c>
      <c r="AI63" s="7">
        <v>0</v>
      </c>
      <c r="AJ63" s="7">
        <v>0</v>
      </c>
      <c r="AK63" s="7">
        <v>0</v>
      </c>
      <c r="AL63" s="7">
        <v>0</v>
      </c>
      <c r="AM63" s="7">
        <v>0</v>
      </c>
      <c r="AN63" s="7">
        <v>0</v>
      </c>
      <c r="AO63" s="7">
        <v>0</v>
      </c>
      <c r="AP63" s="7">
        <v>0</v>
      </c>
      <c r="AQ63" s="7">
        <v>0</v>
      </c>
      <c r="AR63" s="7">
        <v>0</v>
      </c>
      <c r="AS63" s="7">
        <v>0</v>
      </c>
      <c r="AT63" s="7">
        <v>0</v>
      </c>
      <c r="AU63" s="7">
        <v>0</v>
      </c>
      <c r="AV63" s="7">
        <v>0</v>
      </c>
      <c r="AW63" s="7">
        <v>0</v>
      </c>
      <c r="AX63" s="7">
        <v>0</v>
      </c>
      <c r="AY63" s="7">
        <v>0</v>
      </c>
      <c r="AZ63" s="7">
        <v>0</v>
      </c>
      <c r="BA63" s="7">
        <v>0</v>
      </c>
      <c r="BB63" s="7">
        <v>0</v>
      </c>
      <c r="BC63" s="7">
        <v>1</v>
      </c>
      <c r="BD63" s="7">
        <v>1</v>
      </c>
      <c r="BE63" s="7">
        <v>1</v>
      </c>
      <c r="BF63" s="7">
        <v>1</v>
      </c>
      <c r="BG63" s="7">
        <v>1</v>
      </c>
      <c r="BH63" s="7">
        <v>1</v>
      </c>
      <c r="BI63" s="7">
        <v>1</v>
      </c>
      <c r="BJ63" s="7">
        <v>1</v>
      </c>
    </row>
    <row r="64" spans="4:62" x14ac:dyDescent="0.2">
      <c r="L64">
        <v>39</v>
      </c>
      <c r="M64" s="8">
        <v>0</v>
      </c>
      <c r="N64" s="8">
        <v>0</v>
      </c>
      <c r="O64" s="8">
        <v>0</v>
      </c>
      <c r="P64" s="8">
        <v>0</v>
      </c>
      <c r="Q64" s="8">
        <v>0</v>
      </c>
      <c r="R64" s="8">
        <v>0</v>
      </c>
      <c r="S64" s="8">
        <v>0</v>
      </c>
      <c r="T64" s="8">
        <v>0</v>
      </c>
      <c r="U64" s="7">
        <v>0</v>
      </c>
      <c r="V64" s="7">
        <v>0</v>
      </c>
      <c r="W64" s="7">
        <v>0</v>
      </c>
      <c r="X64" s="7">
        <v>0</v>
      </c>
      <c r="Y64" s="7">
        <v>0</v>
      </c>
      <c r="Z64" s="7">
        <v>0</v>
      </c>
      <c r="AA64" s="7">
        <v>0</v>
      </c>
      <c r="AB64" s="7">
        <v>0</v>
      </c>
      <c r="AC64" s="7">
        <v>0</v>
      </c>
      <c r="AD64" s="7">
        <v>0</v>
      </c>
      <c r="AE64" s="7">
        <v>0</v>
      </c>
      <c r="AF64" s="7">
        <v>0</v>
      </c>
      <c r="AG64" s="7">
        <v>0</v>
      </c>
      <c r="AH64" s="7">
        <v>0</v>
      </c>
      <c r="AI64" s="7">
        <v>0</v>
      </c>
      <c r="AJ64" s="7">
        <v>0</v>
      </c>
      <c r="AK64" s="7">
        <v>0</v>
      </c>
      <c r="AL64" s="7">
        <v>0</v>
      </c>
      <c r="AM64" s="7">
        <v>0</v>
      </c>
      <c r="AN64" s="7">
        <v>0</v>
      </c>
      <c r="AO64" s="7">
        <v>0</v>
      </c>
      <c r="AP64" s="7">
        <v>0</v>
      </c>
      <c r="AQ64" s="7">
        <v>0</v>
      </c>
      <c r="AR64" s="7">
        <v>0</v>
      </c>
      <c r="AS64" s="7">
        <v>0</v>
      </c>
      <c r="AT64" s="7">
        <v>0</v>
      </c>
      <c r="AU64" s="7">
        <v>0</v>
      </c>
      <c r="AV64" s="7">
        <v>0</v>
      </c>
      <c r="AW64" s="7">
        <v>0</v>
      </c>
      <c r="AX64" s="7">
        <v>0</v>
      </c>
      <c r="AY64" s="7">
        <v>0</v>
      </c>
      <c r="AZ64" s="7">
        <v>0</v>
      </c>
      <c r="BA64" s="7">
        <v>0</v>
      </c>
      <c r="BB64" s="7">
        <v>0</v>
      </c>
      <c r="BC64" s="7">
        <v>0</v>
      </c>
      <c r="BD64" s="7">
        <v>1</v>
      </c>
      <c r="BE64" s="7">
        <v>1</v>
      </c>
      <c r="BF64" s="7">
        <v>1</v>
      </c>
      <c r="BG64" s="7">
        <v>1</v>
      </c>
      <c r="BH64" s="7">
        <v>1</v>
      </c>
      <c r="BI64" s="7">
        <v>1</v>
      </c>
      <c r="BJ64" s="7">
        <v>1</v>
      </c>
    </row>
    <row r="65" spans="12:62" x14ac:dyDescent="0.2">
      <c r="L65">
        <v>40</v>
      </c>
      <c r="M65" s="8">
        <v>0</v>
      </c>
      <c r="N65" s="8">
        <v>0</v>
      </c>
      <c r="O65" s="8">
        <v>0</v>
      </c>
      <c r="P65" s="8">
        <v>0</v>
      </c>
      <c r="Q65" s="8">
        <v>0</v>
      </c>
      <c r="R65" s="8">
        <v>0</v>
      </c>
      <c r="S65" s="8">
        <v>0</v>
      </c>
      <c r="T65" s="8">
        <v>0</v>
      </c>
      <c r="U65" s="7">
        <v>0</v>
      </c>
      <c r="V65" s="7">
        <v>0</v>
      </c>
      <c r="W65" s="7">
        <v>0</v>
      </c>
      <c r="X65" s="7">
        <v>0</v>
      </c>
      <c r="Y65" s="7">
        <v>0</v>
      </c>
      <c r="Z65" s="7">
        <v>0</v>
      </c>
      <c r="AA65" s="7">
        <v>0</v>
      </c>
      <c r="AB65" s="7">
        <v>0</v>
      </c>
      <c r="AC65" s="7">
        <v>0</v>
      </c>
      <c r="AD65" s="7">
        <v>0</v>
      </c>
      <c r="AE65" s="7">
        <v>0</v>
      </c>
      <c r="AF65" s="7">
        <v>0</v>
      </c>
      <c r="AG65" s="7">
        <v>0</v>
      </c>
      <c r="AH65" s="7">
        <v>0</v>
      </c>
      <c r="AI65" s="7">
        <v>0</v>
      </c>
      <c r="AJ65" s="7">
        <v>0</v>
      </c>
      <c r="AK65" s="7">
        <v>0</v>
      </c>
      <c r="AL65" s="7">
        <v>0</v>
      </c>
      <c r="AM65" s="7">
        <v>0</v>
      </c>
      <c r="AN65" s="7">
        <v>0</v>
      </c>
      <c r="AO65" s="7">
        <v>0</v>
      </c>
      <c r="AP65" s="7">
        <v>0</v>
      </c>
      <c r="AQ65" s="7">
        <v>0</v>
      </c>
      <c r="AR65" s="7">
        <v>0</v>
      </c>
      <c r="AS65" s="7">
        <v>0</v>
      </c>
      <c r="AT65" s="7">
        <v>0</v>
      </c>
      <c r="AU65" s="7">
        <v>0</v>
      </c>
      <c r="AV65" s="7">
        <v>0</v>
      </c>
      <c r="AW65" s="7">
        <v>0</v>
      </c>
      <c r="AX65" s="7">
        <v>0</v>
      </c>
      <c r="AY65" s="7">
        <v>0</v>
      </c>
      <c r="AZ65" s="7">
        <v>0</v>
      </c>
      <c r="BA65" s="7">
        <v>0</v>
      </c>
      <c r="BB65" s="7">
        <v>0</v>
      </c>
      <c r="BC65" s="7">
        <v>0</v>
      </c>
      <c r="BD65" s="7">
        <v>0</v>
      </c>
      <c r="BE65" s="7">
        <v>1</v>
      </c>
      <c r="BF65" s="7">
        <v>1</v>
      </c>
      <c r="BG65" s="7">
        <v>1</v>
      </c>
      <c r="BH65" s="7">
        <v>1</v>
      </c>
      <c r="BI65" s="7">
        <v>1</v>
      </c>
      <c r="BJ65" s="7">
        <v>1</v>
      </c>
    </row>
    <row r="66" spans="12:62" x14ac:dyDescent="0.2">
      <c r="L66">
        <v>41</v>
      </c>
      <c r="M66" s="8">
        <v>0</v>
      </c>
      <c r="N66" s="8">
        <v>0</v>
      </c>
      <c r="O66" s="8">
        <v>0</v>
      </c>
      <c r="P66" s="8">
        <v>0</v>
      </c>
      <c r="Q66" s="8">
        <v>0</v>
      </c>
      <c r="R66" s="8">
        <v>0</v>
      </c>
      <c r="S66" s="8">
        <v>0</v>
      </c>
      <c r="T66" s="8">
        <v>0</v>
      </c>
      <c r="U66" s="7">
        <v>0</v>
      </c>
      <c r="V66" s="7">
        <v>0</v>
      </c>
      <c r="W66" s="7">
        <v>0</v>
      </c>
      <c r="X66" s="7">
        <v>0</v>
      </c>
      <c r="Y66" s="7">
        <v>0</v>
      </c>
      <c r="Z66" s="7">
        <v>0</v>
      </c>
      <c r="AA66" s="7">
        <v>0</v>
      </c>
      <c r="AB66" s="7">
        <v>0</v>
      </c>
      <c r="AC66" s="7">
        <v>0</v>
      </c>
      <c r="AD66" s="7">
        <v>0</v>
      </c>
      <c r="AE66" s="7">
        <v>0</v>
      </c>
      <c r="AF66" s="7">
        <v>0</v>
      </c>
      <c r="AG66" s="7">
        <v>0</v>
      </c>
      <c r="AH66" s="7">
        <v>0</v>
      </c>
      <c r="AI66" s="7">
        <v>0</v>
      </c>
      <c r="AJ66" s="7">
        <v>0</v>
      </c>
      <c r="AK66" s="7">
        <v>0</v>
      </c>
      <c r="AL66" s="7">
        <v>0</v>
      </c>
      <c r="AM66" s="7">
        <v>0</v>
      </c>
      <c r="AN66" s="7">
        <v>0</v>
      </c>
      <c r="AO66" s="7">
        <v>0</v>
      </c>
      <c r="AP66" s="7">
        <v>0</v>
      </c>
      <c r="AQ66" s="7">
        <v>0</v>
      </c>
      <c r="AR66" s="7">
        <v>0</v>
      </c>
      <c r="AS66" s="7">
        <v>0</v>
      </c>
      <c r="AT66" s="7">
        <v>0</v>
      </c>
      <c r="AU66" s="7">
        <v>0</v>
      </c>
      <c r="AV66" s="7">
        <v>0</v>
      </c>
      <c r="AW66" s="7">
        <v>0</v>
      </c>
      <c r="AX66" s="7">
        <v>0</v>
      </c>
      <c r="AY66" s="7">
        <v>0</v>
      </c>
      <c r="AZ66" s="7">
        <v>0</v>
      </c>
      <c r="BA66" s="7">
        <v>0</v>
      </c>
      <c r="BB66" s="7">
        <v>0</v>
      </c>
      <c r="BC66" s="7">
        <v>0</v>
      </c>
      <c r="BD66" s="7">
        <v>0</v>
      </c>
      <c r="BE66" s="7">
        <v>1</v>
      </c>
      <c r="BF66" s="7">
        <v>1</v>
      </c>
      <c r="BG66" s="7">
        <v>1</v>
      </c>
      <c r="BH66" s="7">
        <v>1</v>
      </c>
      <c r="BI66" s="7">
        <v>1</v>
      </c>
      <c r="BJ66" s="7">
        <v>1</v>
      </c>
    </row>
    <row r="67" spans="12:62" x14ac:dyDescent="0.2">
      <c r="L67">
        <v>42</v>
      </c>
      <c r="M67" s="8">
        <v>0</v>
      </c>
      <c r="N67" s="8">
        <v>0</v>
      </c>
      <c r="O67" s="8">
        <v>0</v>
      </c>
      <c r="P67" s="8">
        <v>0</v>
      </c>
      <c r="Q67" s="8">
        <v>0</v>
      </c>
      <c r="R67" s="8">
        <v>0</v>
      </c>
      <c r="S67" s="8">
        <v>0</v>
      </c>
      <c r="T67" s="8">
        <v>0</v>
      </c>
      <c r="U67" s="7">
        <v>0</v>
      </c>
      <c r="V67" s="7">
        <v>0</v>
      </c>
      <c r="W67" s="7">
        <v>0</v>
      </c>
      <c r="X67" s="7">
        <v>0</v>
      </c>
      <c r="Y67" s="7">
        <v>0</v>
      </c>
      <c r="Z67" s="7">
        <v>0</v>
      </c>
      <c r="AA67" s="7">
        <v>0</v>
      </c>
      <c r="AB67" s="7">
        <v>0</v>
      </c>
      <c r="AC67" s="7">
        <v>0</v>
      </c>
      <c r="AD67" s="7">
        <v>0</v>
      </c>
      <c r="AE67" s="7">
        <v>0</v>
      </c>
      <c r="AF67" s="7">
        <v>0</v>
      </c>
      <c r="AG67" s="7">
        <v>0</v>
      </c>
      <c r="AH67" s="7">
        <v>0</v>
      </c>
      <c r="AI67" s="7">
        <v>0</v>
      </c>
      <c r="AJ67" s="7">
        <v>0</v>
      </c>
      <c r="AK67" s="7">
        <v>0</v>
      </c>
      <c r="AL67" s="7">
        <v>0</v>
      </c>
      <c r="AM67" s="7">
        <v>0</v>
      </c>
      <c r="AN67" s="7">
        <v>0</v>
      </c>
      <c r="AO67" s="7">
        <v>0</v>
      </c>
      <c r="AP67" s="7">
        <v>0</v>
      </c>
      <c r="AQ67" s="7">
        <v>0</v>
      </c>
      <c r="AR67" s="7">
        <v>0</v>
      </c>
      <c r="AS67" s="7">
        <v>0</v>
      </c>
      <c r="AT67" s="7">
        <v>0</v>
      </c>
      <c r="AU67" s="7">
        <v>0</v>
      </c>
      <c r="AV67" s="7">
        <v>0</v>
      </c>
      <c r="AW67" s="7">
        <v>0</v>
      </c>
      <c r="AX67" s="7">
        <v>0</v>
      </c>
      <c r="AY67" s="7">
        <v>0</v>
      </c>
      <c r="AZ67" s="7">
        <v>0</v>
      </c>
      <c r="BA67" s="7">
        <v>0</v>
      </c>
      <c r="BB67" s="7">
        <v>0</v>
      </c>
      <c r="BC67" s="7">
        <v>0</v>
      </c>
      <c r="BD67" s="7">
        <v>0</v>
      </c>
      <c r="BE67" s="7">
        <v>0</v>
      </c>
      <c r="BF67" s="7">
        <v>1</v>
      </c>
      <c r="BG67" s="7">
        <v>1</v>
      </c>
      <c r="BH67" s="7">
        <v>1</v>
      </c>
      <c r="BI67" s="7">
        <v>1</v>
      </c>
      <c r="BJ67" s="7">
        <v>1</v>
      </c>
    </row>
    <row r="68" spans="12:62" x14ac:dyDescent="0.2">
      <c r="L68">
        <v>43</v>
      </c>
      <c r="M68" s="8">
        <v>0</v>
      </c>
      <c r="N68" s="8">
        <v>0</v>
      </c>
      <c r="O68" s="8">
        <v>0</v>
      </c>
      <c r="P68" s="8">
        <v>0</v>
      </c>
      <c r="Q68" s="8">
        <v>0</v>
      </c>
      <c r="R68" s="8">
        <v>0</v>
      </c>
      <c r="S68" s="8">
        <v>0</v>
      </c>
      <c r="T68" s="8">
        <v>0</v>
      </c>
      <c r="U68" s="7">
        <v>0</v>
      </c>
      <c r="V68" s="7">
        <v>0</v>
      </c>
      <c r="W68" s="7">
        <v>0</v>
      </c>
      <c r="X68" s="7">
        <v>0</v>
      </c>
      <c r="Y68" s="7">
        <v>0</v>
      </c>
      <c r="Z68" s="7">
        <v>0</v>
      </c>
      <c r="AA68" s="7">
        <v>0</v>
      </c>
      <c r="AB68" s="7">
        <v>0</v>
      </c>
      <c r="AC68" s="7">
        <v>0</v>
      </c>
      <c r="AD68" s="7">
        <v>0</v>
      </c>
      <c r="AE68" s="7">
        <v>0</v>
      </c>
      <c r="AF68" s="7">
        <v>0</v>
      </c>
      <c r="AG68" s="7">
        <v>0</v>
      </c>
      <c r="AH68" s="7">
        <v>0</v>
      </c>
      <c r="AI68" s="7">
        <v>0</v>
      </c>
      <c r="AJ68" s="7">
        <v>0</v>
      </c>
      <c r="AK68" s="7">
        <v>0</v>
      </c>
      <c r="AL68" s="7">
        <v>0</v>
      </c>
      <c r="AM68" s="7">
        <v>0</v>
      </c>
      <c r="AN68" s="7">
        <v>0</v>
      </c>
      <c r="AO68" s="7">
        <v>0</v>
      </c>
      <c r="AP68" s="7">
        <v>0</v>
      </c>
      <c r="AQ68" s="7">
        <v>0</v>
      </c>
      <c r="AR68" s="7">
        <v>0</v>
      </c>
      <c r="AS68" s="7">
        <v>0</v>
      </c>
      <c r="AT68" s="7">
        <v>0</v>
      </c>
      <c r="AU68" s="7">
        <v>0</v>
      </c>
      <c r="AV68" s="7">
        <v>0</v>
      </c>
      <c r="AW68" s="7">
        <v>0</v>
      </c>
      <c r="AX68" s="7">
        <v>0</v>
      </c>
      <c r="AY68" s="7">
        <v>0</v>
      </c>
      <c r="AZ68" s="7">
        <v>0</v>
      </c>
      <c r="BA68" s="7">
        <v>0</v>
      </c>
      <c r="BB68" s="7">
        <v>0</v>
      </c>
      <c r="BC68" s="7">
        <v>0</v>
      </c>
      <c r="BD68" s="7">
        <v>0</v>
      </c>
      <c r="BE68" s="7">
        <v>0</v>
      </c>
      <c r="BF68" s="7">
        <v>0</v>
      </c>
      <c r="BG68" s="7">
        <v>1</v>
      </c>
      <c r="BH68" s="7">
        <v>1</v>
      </c>
      <c r="BI68" s="7">
        <v>1</v>
      </c>
      <c r="BJ68" s="7">
        <v>1</v>
      </c>
    </row>
    <row r="69" spans="12:62" x14ac:dyDescent="0.2">
      <c r="L69">
        <v>44</v>
      </c>
      <c r="M69" s="8">
        <v>0</v>
      </c>
      <c r="N69" s="8">
        <v>0</v>
      </c>
      <c r="O69" s="8">
        <v>0</v>
      </c>
      <c r="P69" s="8">
        <v>0</v>
      </c>
      <c r="Q69" s="8">
        <v>0</v>
      </c>
      <c r="R69" s="8">
        <v>0</v>
      </c>
      <c r="S69" s="8">
        <v>0</v>
      </c>
      <c r="T69" s="8">
        <v>0</v>
      </c>
      <c r="U69" s="7">
        <v>0</v>
      </c>
      <c r="V69" s="7">
        <v>0</v>
      </c>
      <c r="W69" s="7">
        <v>0</v>
      </c>
      <c r="X69" s="7">
        <v>0</v>
      </c>
      <c r="Y69" s="7">
        <v>0</v>
      </c>
      <c r="Z69" s="7">
        <v>0</v>
      </c>
      <c r="AA69" s="7">
        <v>0</v>
      </c>
      <c r="AB69" s="7">
        <v>0</v>
      </c>
      <c r="AC69" s="7">
        <v>0</v>
      </c>
      <c r="AD69" s="7">
        <v>0</v>
      </c>
      <c r="AE69" s="7">
        <v>0</v>
      </c>
      <c r="AF69" s="7">
        <v>0</v>
      </c>
      <c r="AG69" s="7">
        <v>0</v>
      </c>
      <c r="AH69" s="7">
        <v>0</v>
      </c>
      <c r="AI69" s="7">
        <v>0</v>
      </c>
      <c r="AJ69" s="7">
        <v>0</v>
      </c>
      <c r="AK69" s="7">
        <v>0</v>
      </c>
      <c r="AL69" s="7">
        <v>0</v>
      </c>
      <c r="AM69" s="7">
        <v>0</v>
      </c>
      <c r="AN69" s="7">
        <v>0</v>
      </c>
      <c r="AO69" s="7">
        <v>0</v>
      </c>
      <c r="AP69" s="7">
        <v>0</v>
      </c>
      <c r="AQ69" s="7">
        <v>0</v>
      </c>
      <c r="AR69" s="7">
        <v>0</v>
      </c>
      <c r="AS69" s="7">
        <v>0</v>
      </c>
      <c r="AT69" s="7">
        <v>0</v>
      </c>
      <c r="AU69" s="7">
        <v>0</v>
      </c>
      <c r="AV69" s="7">
        <v>0</v>
      </c>
      <c r="AW69" s="7">
        <v>0</v>
      </c>
      <c r="AX69" s="7">
        <v>0</v>
      </c>
      <c r="AY69" s="7">
        <v>0</v>
      </c>
      <c r="AZ69" s="7">
        <v>0</v>
      </c>
      <c r="BA69" s="7">
        <v>0</v>
      </c>
      <c r="BB69" s="7">
        <v>0</v>
      </c>
      <c r="BC69" s="7">
        <v>0</v>
      </c>
      <c r="BD69" s="7">
        <v>0</v>
      </c>
      <c r="BE69" s="7">
        <v>0</v>
      </c>
      <c r="BF69" s="7">
        <v>0</v>
      </c>
      <c r="BG69" s="7">
        <v>1</v>
      </c>
      <c r="BH69" s="7">
        <v>1</v>
      </c>
      <c r="BI69" s="7">
        <v>1</v>
      </c>
      <c r="BJ69" s="7">
        <v>1</v>
      </c>
    </row>
    <row r="70" spans="12:62" x14ac:dyDescent="0.2">
      <c r="L70">
        <v>45</v>
      </c>
      <c r="M70" s="8">
        <v>0</v>
      </c>
      <c r="N70" s="8">
        <v>0</v>
      </c>
      <c r="O70" s="8">
        <v>0</v>
      </c>
      <c r="P70" s="8">
        <v>0</v>
      </c>
      <c r="Q70" s="8">
        <v>0</v>
      </c>
      <c r="R70" s="8">
        <v>0</v>
      </c>
      <c r="S70" s="8">
        <v>0</v>
      </c>
      <c r="T70" s="8">
        <v>0</v>
      </c>
      <c r="U70" s="7">
        <v>0</v>
      </c>
      <c r="V70" s="7">
        <v>0</v>
      </c>
      <c r="W70" s="7">
        <v>0</v>
      </c>
      <c r="X70" s="7">
        <v>0</v>
      </c>
      <c r="Y70" s="7">
        <v>0</v>
      </c>
      <c r="Z70" s="7">
        <v>0</v>
      </c>
      <c r="AA70" s="7">
        <v>0</v>
      </c>
      <c r="AB70" s="7">
        <v>0</v>
      </c>
      <c r="AC70" s="7">
        <v>0</v>
      </c>
      <c r="AD70" s="7">
        <v>0</v>
      </c>
      <c r="AE70" s="7">
        <v>0</v>
      </c>
      <c r="AF70" s="7">
        <v>0</v>
      </c>
      <c r="AG70" s="7">
        <v>0</v>
      </c>
      <c r="AH70" s="7">
        <v>0</v>
      </c>
      <c r="AI70" s="7">
        <v>0</v>
      </c>
      <c r="AJ70" s="7">
        <v>0</v>
      </c>
      <c r="AK70" s="7">
        <v>0</v>
      </c>
      <c r="AL70" s="7">
        <v>0</v>
      </c>
      <c r="AM70" s="7">
        <v>0</v>
      </c>
      <c r="AN70" s="7">
        <v>0</v>
      </c>
      <c r="AO70" s="7">
        <v>0</v>
      </c>
      <c r="AP70" s="7">
        <v>0</v>
      </c>
      <c r="AQ70" s="7">
        <v>0</v>
      </c>
      <c r="AR70" s="7">
        <v>0</v>
      </c>
      <c r="AS70" s="7">
        <v>0</v>
      </c>
      <c r="AT70" s="7">
        <v>0</v>
      </c>
      <c r="AU70" s="7">
        <v>0</v>
      </c>
      <c r="AV70" s="7">
        <v>0</v>
      </c>
      <c r="AW70" s="7">
        <v>0</v>
      </c>
      <c r="AX70" s="7">
        <v>0</v>
      </c>
      <c r="AY70" s="7">
        <v>0</v>
      </c>
      <c r="AZ70" s="7">
        <v>0</v>
      </c>
      <c r="BA70" s="7">
        <v>0</v>
      </c>
      <c r="BB70" s="7">
        <v>0</v>
      </c>
      <c r="BC70" s="7">
        <v>0</v>
      </c>
      <c r="BD70" s="7">
        <v>0</v>
      </c>
      <c r="BE70" s="7">
        <v>0</v>
      </c>
      <c r="BF70" s="7">
        <v>0</v>
      </c>
      <c r="BG70" s="7">
        <v>0</v>
      </c>
      <c r="BH70" s="7">
        <v>1</v>
      </c>
      <c r="BI70" s="7">
        <v>1</v>
      </c>
      <c r="BJ70" s="7">
        <v>1</v>
      </c>
    </row>
    <row r="71" spans="12:62" x14ac:dyDescent="0.2">
      <c r="L71">
        <v>46</v>
      </c>
      <c r="M71" s="8">
        <v>0</v>
      </c>
      <c r="N71" s="8">
        <v>0</v>
      </c>
      <c r="O71" s="8">
        <v>0</v>
      </c>
      <c r="P71" s="8">
        <v>0</v>
      </c>
      <c r="Q71" s="8">
        <v>0</v>
      </c>
      <c r="R71" s="8">
        <v>0</v>
      </c>
      <c r="S71" s="8">
        <v>0</v>
      </c>
      <c r="T71" s="8">
        <v>0</v>
      </c>
      <c r="U71" s="7">
        <v>0</v>
      </c>
      <c r="V71" s="7">
        <v>0</v>
      </c>
      <c r="W71" s="7">
        <v>0</v>
      </c>
      <c r="X71" s="7">
        <v>0</v>
      </c>
      <c r="Y71" s="7">
        <v>0</v>
      </c>
      <c r="Z71" s="7">
        <v>0</v>
      </c>
      <c r="AA71" s="7">
        <v>0</v>
      </c>
      <c r="AB71" s="7">
        <v>0</v>
      </c>
      <c r="AC71" s="7">
        <v>0</v>
      </c>
      <c r="AD71" s="7">
        <v>0</v>
      </c>
      <c r="AE71" s="7">
        <v>0</v>
      </c>
      <c r="AF71" s="7">
        <v>0</v>
      </c>
      <c r="AG71" s="7">
        <v>0</v>
      </c>
      <c r="AH71" s="7">
        <v>0</v>
      </c>
      <c r="AI71" s="7">
        <v>0</v>
      </c>
      <c r="AJ71" s="7">
        <v>0</v>
      </c>
      <c r="AK71" s="7">
        <v>0</v>
      </c>
      <c r="AL71" s="7">
        <v>0</v>
      </c>
      <c r="AM71" s="7">
        <v>0</v>
      </c>
      <c r="AN71" s="7">
        <v>0</v>
      </c>
      <c r="AO71" s="7">
        <v>0</v>
      </c>
      <c r="AP71" s="7">
        <v>0</v>
      </c>
      <c r="AQ71" s="7">
        <v>0</v>
      </c>
      <c r="AR71" s="7">
        <v>0</v>
      </c>
      <c r="AS71" s="7">
        <v>0</v>
      </c>
      <c r="AT71" s="7">
        <v>0</v>
      </c>
      <c r="AU71" s="7">
        <v>0</v>
      </c>
      <c r="AV71" s="7">
        <v>0</v>
      </c>
      <c r="AW71" s="7">
        <v>0</v>
      </c>
      <c r="AX71" s="7">
        <v>0</v>
      </c>
      <c r="AY71" s="7">
        <v>0</v>
      </c>
      <c r="AZ71" s="7">
        <v>0</v>
      </c>
      <c r="BA71" s="7">
        <v>0</v>
      </c>
      <c r="BB71" s="7">
        <v>0</v>
      </c>
      <c r="BC71" s="7">
        <v>0</v>
      </c>
      <c r="BD71" s="7">
        <v>0</v>
      </c>
      <c r="BE71" s="7">
        <v>0</v>
      </c>
      <c r="BF71" s="7">
        <v>0</v>
      </c>
      <c r="BG71" s="7">
        <v>0</v>
      </c>
      <c r="BH71" s="7">
        <v>0</v>
      </c>
      <c r="BI71" s="7">
        <v>1</v>
      </c>
      <c r="BJ71" s="7">
        <v>1</v>
      </c>
    </row>
    <row r="72" spans="12:62" x14ac:dyDescent="0.2">
      <c r="L72">
        <v>47</v>
      </c>
      <c r="M72" s="8">
        <v>0</v>
      </c>
      <c r="N72" s="8">
        <v>0</v>
      </c>
      <c r="O72" s="8">
        <v>0</v>
      </c>
      <c r="P72" s="8">
        <v>0</v>
      </c>
      <c r="Q72" s="8">
        <v>0</v>
      </c>
      <c r="R72" s="8">
        <v>0</v>
      </c>
      <c r="S72" s="8">
        <v>0</v>
      </c>
      <c r="T72" s="8">
        <v>0</v>
      </c>
      <c r="U72" s="7">
        <v>0</v>
      </c>
      <c r="V72" s="7">
        <v>0</v>
      </c>
      <c r="W72" s="7">
        <v>0</v>
      </c>
      <c r="X72" s="7">
        <v>0</v>
      </c>
      <c r="Y72" s="7">
        <v>0</v>
      </c>
      <c r="Z72" s="7">
        <v>0</v>
      </c>
      <c r="AA72" s="7">
        <v>0</v>
      </c>
      <c r="AB72" s="7">
        <v>0</v>
      </c>
      <c r="AC72" s="7">
        <v>0</v>
      </c>
      <c r="AD72" s="7">
        <v>0</v>
      </c>
      <c r="AE72" s="7">
        <v>0</v>
      </c>
      <c r="AF72" s="7">
        <v>0</v>
      </c>
      <c r="AG72" s="7">
        <v>0</v>
      </c>
      <c r="AH72" s="7">
        <v>0</v>
      </c>
      <c r="AI72" s="7">
        <v>0</v>
      </c>
      <c r="AJ72" s="7">
        <v>0</v>
      </c>
      <c r="AK72" s="7">
        <v>0</v>
      </c>
      <c r="AL72" s="7">
        <v>0</v>
      </c>
      <c r="AM72" s="7">
        <v>0</v>
      </c>
      <c r="AN72" s="7">
        <v>0</v>
      </c>
      <c r="AO72" s="7">
        <v>0</v>
      </c>
      <c r="AP72" s="7">
        <v>0</v>
      </c>
      <c r="AQ72" s="7">
        <v>0</v>
      </c>
      <c r="AR72" s="7">
        <v>0</v>
      </c>
      <c r="AS72" s="7">
        <v>0</v>
      </c>
      <c r="AT72" s="7">
        <v>0</v>
      </c>
      <c r="AU72" s="7">
        <v>0</v>
      </c>
      <c r="AV72" s="7">
        <v>0</v>
      </c>
      <c r="AW72" s="7">
        <v>0</v>
      </c>
      <c r="AX72" s="7">
        <v>0</v>
      </c>
      <c r="AY72" s="7">
        <v>0</v>
      </c>
      <c r="AZ72" s="7">
        <v>0</v>
      </c>
      <c r="BA72" s="7">
        <v>0</v>
      </c>
      <c r="BB72" s="7">
        <v>0</v>
      </c>
      <c r="BC72" s="7">
        <v>0</v>
      </c>
      <c r="BD72" s="7">
        <v>0</v>
      </c>
      <c r="BE72" s="7">
        <v>0</v>
      </c>
      <c r="BF72" s="7">
        <v>0</v>
      </c>
      <c r="BG72" s="7">
        <v>0</v>
      </c>
      <c r="BH72" s="7">
        <v>0</v>
      </c>
      <c r="BI72" s="7">
        <v>1</v>
      </c>
      <c r="BJ72" s="7">
        <v>1</v>
      </c>
    </row>
    <row r="73" spans="12:62" x14ac:dyDescent="0.2">
      <c r="L73">
        <v>48</v>
      </c>
      <c r="M73" s="8">
        <v>0</v>
      </c>
      <c r="N73" s="8">
        <v>0</v>
      </c>
      <c r="O73" s="8">
        <v>0</v>
      </c>
      <c r="P73" s="8">
        <v>0</v>
      </c>
      <c r="Q73" s="8">
        <v>0</v>
      </c>
      <c r="R73" s="8">
        <v>0</v>
      </c>
      <c r="S73" s="8">
        <v>0</v>
      </c>
      <c r="T73" s="8">
        <v>0</v>
      </c>
      <c r="U73" s="7">
        <v>0</v>
      </c>
      <c r="V73" s="7">
        <v>0</v>
      </c>
      <c r="W73" s="7">
        <v>0</v>
      </c>
      <c r="X73" s="7">
        <v>0</v>
      </c>
      <c r="Y73" s="7">
        <v>0</v>
      </c>
      <c r="Z73" s="7">
        <v>0</v>
      </c>
      <c r="AA73" s="7">
        <v>0</v>
      </c>
      <c r="AB73" s="7">
        <v>0</v>
      </c>
      <c r="AC73" s="7">
        <v>0</v>
      </c>
      <c r="AD73" s="7">
        <v>0</v>
      </c>
      <c r="AE73" s="7">
        <v>0</v>
      </c>
      <c r="AF73" s="7">
        <v>0</v>
      </c>
      <c r="AG73" s="7">
        <v>0</v>
      </c>
      <c r="AH73" s="7">
        <v>0</v>
      </c>
      <c r="AI73" s="7">
        <v>0</v>
      </c>
      <c r="AJ73" s="7">
        <v>0</v>
      </c>
      <c r="AK73" s="7">
        <v>0</v>
      </c>
      <c r="AL73" s="7">
        <v>0</v>
      </c>
      <c r="AM73" s="7">
        <v>0</v>
      </c>
      <c r="AN73" s="7">
        <v>0</v>
      </c>
      <c r="AO73" s="7">
        <v>0</v>
      </c>
      <c r="AP73" s="7">
        <v>0</v>
      </c>
      <c r="AQ73" s="7">
        <v>0</v>
      </c>
      <c r="AR73" s="7">
        <v>0</v>
      </c>
      <c r="AS73" s="7">
        <v>0</v>
      </c>
      <c r="AT73" s="7">
        <v>0</v>
      </c>
      <c r="AU73" s="7">
        <v>0</v>
      </c>
      <c r="AV73" s="7">
        <v>0</v>
      </c>
      <c r="AW73" s="7">
        <v>0</v>
      </c>
      <c r="AX73" s="7">
        <v>0</v>
      </c>
      <c r="AY73" s="7">
        <v>0</v>
      </c>
      <c r="AZ73" s="7">
        <v>0</v>
      </c>
      <c r="BA73" s="7">
        <v>0</v>
      </c>
      <c r="BB73" s="7">
        <v>0</v>
      </c>
      <c r="BC73" s="7">
        <v>0</v>
      </c>
      <c r="BD73" s="7">
        <v>0</v>
      </c>
      <c r="BE73" s="7">
        <v>0</v>
      </c>
      <c r="BF73" s="7">
        <v>0</v>
      </c>
      <c r="BG73" s="7">
        <v>0</v>
      </c>
      <c r="BH73" s="7">
        <v>0</v>
      </c>
      <c r="BI73" s="7">
        <v>0</v>
      </c>
      <c r="BJ73" s="7">
        <v>1</v>
      </c>
    </row>
    <row r="74" spans="12:62" x14ac:dyDescent="0.2">
      <c r="L74">
        <v>49</v>
      </c>
      <c r="M74" s="8">
        <v>0</v>
      </c>
      <c r="N74" s="8">
        <v>0</v>
      </c>
      <c r="O74" s="8">
        <v>0</v>
      </c>
      <c r="P74" s="8">
        <v>0</v>
      </c>
      <c r="Q74" s="8">
        <v>0</v>
      </c>
      <c r="R74" s="8">
        <v>0</v>
      </c>
      <c r="S74" s="8">
        <v>0</v>
      </c>
      <c r="T74" s="8">
        <v>0</v>
      </c>
      <c r="U74" s="7">
        <v>0</v>
      </c>
      <c r="V74" s="7">
        <v>0</v>
      </c>
      <c r="W74" s="7">
        <v>0</v>
      </c>
      <c r="X74" s="7">
        <v>0</v>
      </c>
      <c r="Y74" s="7">
        <v>0</v>
      </c>
      <c r="Z74" s="7">
        <v>0</v>
      </c>
      <c r="AA74" s="7">
        <v>0</v>
      </c>
      <c r="AB74" s="7">
        <v>0</v>
      </c>
      <c r="AC74" s="7">
        <v>0</v>
      </c>
      <c r="AD74" s="7">
        <v>0</v>
      </c>
      <c r="AE74" s="7">
        <v>0</v>
      </c>
      <c r="AF74" s="7">
        <v>0</v>
      </c>
      <c r="AG74" s="7">
        <v>0</v>
      </c>
      <c r="AH74" s="7">
        <v>0</v>
      </c>
      <c r="AI74" s="7">
        <v>0</v>
      </c>
      <c r="AJ74" s="7">
        <v>0</v>
      </c>
      <c r="AK74" s="7">
        <v>0</v>
      </c>
      <c r="AL74" s="7">
        <v>0</v>
      </c>
      <c r="AM74" s="7">
        <v>0</v>
      </c>
      <c r="AN74" s="7">
        <v>0</v>
      </c>
      <c r="AO74" s="7">
        <v>0</v>
      </c>
      <c r="AP74" s="7">
        <v>0</v>
      </c>
      <c r="AQ74" s="7">
        <v>0</v>
      </c>
      <c r="AR74" s="7">
        <v>0</v>
      </c>
      <c r="AS74" s="7">
        <v>0</v>
      </c>
      <c r="AT74" s="7">
        <v>0</v>
      </c>
      <c r="AU74" s="7">
        <v>0</v>
      </c>
      <c r="AV74" s="7">
        <v>0</v>
      </c>
      <c r="AW74" s="7">
        <v>0</v>
      </c>
      <c r="AX74" s="7">
        <v>0</v>
      </c>
      <c r="AY74" s="7">
        <v>0</v>
      </c>
      <c r="AZ74" s="7">
        <v>0</v>
      </c>
      <c r="BA74" s="7">
        <v>0</v>
      </c>
      <c r="BB74" s="7">
        <v>0</v>
      </c>
      <c r="BC74" s="7">
        <v>0</v>
      </c>
      <c r="BD74" s="7">
        <v>0</v>
      </c>
      <c r="BE74" s="7">
        <v>0</v>
      </c>
      <c r="BF74" s="7">
        <v>0</v>
      </c>
      <c r="BG74" s="7">
        <v>0</v>
      </c>
      <c r="BH74" s="7">
        <v>0</v>
      </c>
      <c r="BI74" s="7">
        <v>0</v>
      </c>
      <c r="BJ74" s="7">
        <v>1</v>
      </c>
    </row>
    <row r="75" spans="12:62" x14ac:dyDescent="0.2">
      <c r="L75">
        <v>50</v>
      </c>
      <c r="M75" s="8">
        <v>0</v>
      </c>
      <c r="N75" s="8">
        <v>0</v>
      </c>
      <c r="O75" s="8">
        <v>0</v>
      </c>
      <c r="P75" s="8">
        <v>0</v>
      </c>
      <c r="Q75" s="8">
        <v>0</v>
      </c>
      <c r="R75" s="8">
        <v>0</v>
      </c>
      <c r="S75" s="8">
        <v>0</v>
      </c>
      <c r="T75" s="8">
        <v>0</v>
      </c>
      <c r="U75" s="7">
        <v>0</v>
      </c>
      <c r="V75" s="7">
        <v>0</v>
      </c>
      <c r="W75" s="7">
        <v>0</v>
      </c>
      <c r="X75" s="7">
        <v>0</v>
      </c>
      <c r="Y75" s="7">
        <v>0</v>
      </c>
      <c r="Z75" s="7">
        <v>0</v>
      </c>
      <c r="AA75" s="7">
        <v>0</v>
      </c>
      <c r="AB75" s="7">
        <v>0</v>
      </c>
      <c r="AC75" s="7">
        <v>0</v>
      </c>
      <c r="AD75" s="7">
        <v>0</v>
      </c>
      <c r="AE75" s="7">
        <v>0</v>
      </c>
      <c r="AF75" s="7">
        <v>0</v>
      </c>
      <c r="AG75" s="7">
        <v>0</v>
      </c>
      <c r="AH75" s="7">
        <v>0</v>
      </c>
      <c r="AI75" s="7">
        <v>0</v>
      </c>
      <c r="AJ75" s="7">
        <v>0</v>
      </c>
      <c r="AK75" s="7">
        <v>0</v>
      </c>
      <c r="AL75" s="7">
        <v>0</v>
      </c>
      <c r="AM75" s="7">
        <v>0</v>
      </c>
      <c r="AN75" s="7">
        <v>0</v>
      </c>
      <c r="AO75" s="7">
        <v>0</v>
      </c>
      <c r="AP75" s="7">
        <v>0</v>
      </c>
      <c r="AQ75" s="7">
        <v>0</v>
      </c>
      <c r="AR75" s="7">
        <v>0</v>
      </c>
      <c r="AS75" s="7">
        <v>0</v>
      </c>
      <c r="AT75" s="7">
        <v>0</v>
      </c>
      <c r="AU75" s="7">
        <v>0</v>
      </c>
      <c r="AV75" s="7">
        <v>0</v>
      </c>
      <c r="AW75" s="7">
        <v>0</v>
      </c>
      <c r="AX75" s="7">
        <v>0</v>
      </c>
      <c r="AY75" s="7">
        <v>0</v>
      </c>
      <c r="AZ75" s="7">
        <v>0</v>
      </c>
      <c r="BA75" s="7">
        <v>0</v>
      </c>
      <c r="BB75" s="7">
        <v>0</v>
      </c>
      <c r="BC75" s="7">
        <v>0</v>
      </c>
      <c r="BD75" s="7">
        <v>0</v>
      </c>
      <c r="BE75" s="7">
        <v>0</v>
      </c>
      <c r="BF75" s="7">
        <v>0</v>
      </c>
      <c r="BG75" s="7">
        <v>0</v>
      </c>
      <c r="BH75" s="7">
        <v>0</v>
      </c>
      <c r="BI75" s="7">
        <v>0</v>
      </c>
      <c r="BJ75" s="7">
        <v>0</v>
      </c>
    </row>
    <row r="77" spans="12:62" x14ac:dyDescent="0.2">
      <c r="L77" t="s">
        <v>19</v>
      </c>
      <c r="M77">
        <f>IF(MAX(M26:M75)=1,1,0)</f>
        <v>0</v>
      </c>
      <c r="N77">
        <f t="shared" ref="N77:BJ77" si="0">IF(MAX(N26:N75)=1,1,0)</f>
        <v>0</v>
      </c>
      <c r="O77">
        <f t="shared" si="0"/>
        <v>0</v>
      </c>
      <c r="P77">
        <f t="shared" si="0"/>
        <v>0</v>
      </c>
      <c r="Q77">
        <f t="shared" si="0"/>
        <v>0</v>
      </c>
      <c r="R77">
        <f t="shared" si="0"/>
        <v>0</v>
      </c>
      <c r="S77">
        <f t="shared" si="0"/>
        <v>0</v>
      </c>
      <c r="T77">
        <f t="shared" si="0"/>
        <v>0</v>
      </c>
      <c r="U77">
        <f t="shared" si="0"/>
        <v>0</v>
      </c>
      <c r="V77">
        <f t="shared" si="0"/>
        <v>0</v>
      </c>
      <c r="W77">
        <f t="shared" si="0"/>
        <v>0</v>
      </c>
      <c r="X77">
        <f t="shared" si="0"/>
        <v>0</v>
      </c>
      <c r="Y77">
        <f t="shared" si="0"/>
        <v>1</v>
      </c>
      <c r="Z77">
        <f t="shared" si="0"/>
        <v>1</v>
      </c>
      <c r="AA77">
        <f t="shared" si="0"/>
        <v>1</v>
      </c>
      <c r="AB77">
        <f t="shared" si="0"/>
        <v>1</v>
      </c>
      <c r="AC77">
        <f t="shared" si="0"/>
        <v>1</v>
      </c>
      <c r="AD77">
        <f t="shared" si="0"/>
        <v>1</v>
      </c>
      <c r="AE77">
        <f t="shared" si="0"/>
        <v>1</v>
      </c>
      <c r="AF77">
        <f t="shared" si="0"/>
        <v>1</v>
      </c>
      <c r="AG77">
        <f t="shared" si="0"/>
        <v>1</v>
      </c>
      <c r="AH77">
        <f t="shared" si="0"/>
        <v>1</v>
      </c>
      <c r="AI77">
        <f t="shared" si="0"/>
        <v>1</v>
      </c>
      <c r="AJ77">
        <f t="shared" si="0"/>
        <v>1</v>
      </c>
      <c r="AK77">
        <f t="shared" si="0"/>
        <v>1</v>
      </c>
      <c r="AL77">
        <f t="shared" si="0"/>
        <v>1</v>
      </c>
      <c r="AM77">
        <f t="shared" si="0"/>
        <v>1</v>
      </c>
      <c r="AN77">
        <f t="shared" si="0"/>
        <v>1</v>
      </c>
      <c r="AO77">
        <f t="shared" si="0"/>
        <v>1</v>
      </c>
      <c r="AP77">
        <f t="shared" si="0"/>
        <v>1</v>
      </c>
      <c r="AQ77">
        <f t="shared" si="0"/>
        <v>1</v>
      </c>
      <c r="AR77">
        <f t="shared" si="0"/>
        <v>1</v>
      </c>
      <c r="AS77">
        <f t="shared" si="0"/>
        <v>1</v>
      </c>
      <c r="AT77">
        <f t="shared" si="0"/>
        <v>1</v>
      </c>
      <c r="AU77">
        <f t="shared" si="0"/>
        <v>1</v>
      </c>
      <c r="AV77">
        <f t="shared" si="0"/>
        <v>1</v>
      </c>
      <c r="AW77">
        <f t="shared" si="0"/>
        <v>1</v>
      </c>
      <c r="AX77">
        <f t="shared" si="0"/>
        <v>1</v>
      </c>
      <c r="AY77">
        <f t="shared" si="0"/>
        <v>1</v>
      </c>
      <c r="AZ77">
        <f t="shared" si="0"/>
        <v>1</v>
      </c>
      <c r="BA77">
        <f t="shared" si="0"/>
        <v>1</v>
      </c>
      <c r="BB77">
        <f t="shared" si="0"/>
        <v>1</v>
      </c>
      <c r="BC77">
        <f t="shared" si="0"/>
        <v>1</v>
      </c>
      <c r="BD77">
        <f t="shared" si="0"/>
        <v>1</v>
      </c>
      <c r="BE77">
        <f t="shared" si="0"/>
        <v>1</v>
      </c>
      <c r="BF77">
        <f t="shared" si="0"/>
        <v>1</v>
      </c>
      <c r="BG77">
        <f t="shared" si="0"/>
        <v>1</v>
      </c>
      <c r="BH77">
        <f t="shared" si="0"/>
        <v>1</v>
      </c>
      <c r="BI77">
        <f t="shared" si="0"/>
        <v>1</v>
      </c>
      <c r="BJ77">
        <f t="shared" si="0"/>
        <v>1</v>
      </c>
    </row>
    <row r="78" spans="12:62" x14ac:dyDescent="0.2">
      <c r="L78" t="s">
        <v>20</v>
      </c>
      <c r="M78">
        <f>IF(MIN(M26:M75)=1,1,0)</f>
        <v>0</v>
      </c>
      <c r="N78">
        <f t="shared" ref="N78:BJ78" si="1">IF(MIN(N26:N75)=1,1,0)</f>
        <v>0</v>
      </c>
      <c r="O78">
        <f t="shared" si="1"/>
        <v>0</v>
      </c>
      <c r="P78">
        <f t="shared" si="1"/>
        <v>0</v>
      </c>
      <c r="Q78">
        <f t="shared" si="1"/>
        <v>0</v>
      </c>
      <c r="R78">
        <f t="shared" si="1"/>
        <v>0</v>
      </c>
      <c r="S78">
        <f t="shared" si="1"/>
        <v>0</v>
      </c>
      <c r="T78">
        <f t="shared" si="1"/>
        <v>0</v>
      </c>
      <c r="U78">
        <f t="shared" si="1"/>
        <v>0</v>
      </c>
      <c r="V78">
        <f t="shared" si="1"/>
        <v>0</v>
      </c>
      <c r="W78">
        <f t="shared" si="1"/>
        <v>0</v>
      </c>
      <c r="X78">
        <f t="shared" si="1"/>
        <v>0</v>
      </c>
      <c r="Y78">
        <f t="shared" si="1"/>
        <v>0</v>
      </c>
      <c r="Z78">
        <f t="shared" si="1"/>
        <v>0</v>
      </c>
      <c r="AA78">
        <f t="shared" si="1"/>
        <v>0</v>
      </c>
      <c r="AB78">
        <f t="shared" si="1"/>
        <v>0</v>
      </c>
      <c r="AC78">
        <f t="shared" si="1"/>
        <v>0</v>
      </c>
      <c r="AD78">
        <f t="shared" si="1"/>
        <v>0</v>
      </c>
      <c r="AE78">
        <f t="shared" si="1"/>
        <v>0</v>
      </c>
      <c r="AF78">
        <f t="shared" si="1"/>
        <v>0</v>
      </c>
      <c r="AG78">
        <f t="shared" si="1"/>
        <v>0</v>
      </c>
      <c r="AH78">
        <f t="shared" si="1"/>
        <v>0</v>
      </c>
      <c r="AI78">
        <f t="shared" si="1"/>
        <v>0</v>
      </c>
      <c r="AJ78">
        <f t="shared" si="1"/>
        <v>0</v>
      </c>
      <c r="AK78">
        <f t="shared" si="1"/>
        <v>0</v>
      </c>
      <c r="AL78">
        <f t="shared" si="1"/>
        <v>0</v>
      </c>
      <c r="AM78">
        <f t="shared" si="1"/>
        <v>0</v>
      </c>
      <c r="AN78">
        <f t="shared" si="1"/>
        <v>0</v>
      </c>
      <c r="AO78">
        <f t="shared" si="1"/>
        <v>0</v>
      </c>
      <c r="AP78">
        <f t="shared" si="1"/>
        <v>0</v>
      </c>
      <c r="AQ78">
        <f t="shared" si="1"/>
        <v>0</v>
      </c>
      <c r="AR78">
        <f t="shared" si="1"/>
        <v>0</v>
      </c>
      <c r="AS78">
        <f t="shared" si="1"/>
        <v>0</v>
      </c>
      <c r="AT78">
        <f t="shared" si="1"/>
        <v>0</v>
      </c>
      <c r="AU78">
        <f t="shared" si="1"/>
        <v>0</v>
      </c>
      <c r="AV78">
        <f t="shared" si="1"/>
        <v>0</v>
      </c>
      <c r="AW78">
        <f t="shared" si="1"/>
        <v>0</v>
      </c>
      <c r="AX78">
        <f t="shared" si="1"/>
        <v>0</v>
      </c>
      <c r="AY78">
        <f t="shared" si="1"/>
        <v>0</v>
      </c>
      <c r="AZ78">
        <f t="shared" si="1"/>
        <v>0</v>
      </c>
      <c r="BA78">
        <f t="shared" si="1"/>
        <v>0</v>
      </c>
      <c r="BB78">
        <f t="shared" si="1"/>
        <v>0</v>
      </c>
      <c r="BC78">
        <f t="shared" si="1"/>
        <v>0</v>
      </c>
      <c r="BD78">
        <f t="shared" si="1"/>
        <v>0</v>
      </c>
      <c r="BE78">
        <f t="shared" si="1"/>
        <v>0</v>
      </c>
      <c r="BF78">
        <f t="shared" si="1"/>
        <v>0</v>
      </c>
      <c r="BG78">
        <f t="shared" si="1"/>
        <v>0</v>
      </c>
      <c r="BH78">
        <f t="shared" si="1"/>
        <v>0</v>
      </c>
      <c r="BI78">
        <f t="shared" si="1"/>
        <v>0</v>
      </c>
      <c r="BJ78">
        <f t="shared" si="1"/>
        <v>0</v>
      </c>
    </row>
    <row r="79" spans="12:62" x14ac:dyDescent="0.2">
      <c r="L79" t="s">
        <v>21</v>
      </c>
      <c r="M79" t="str">
        <f t="shared" ref="M79:N79" si="2">IF(SUM(M77:M78)=1,M25,"")</f>
        <v/>
      </c>
      <c r="N79" t="str">
        <f t="shared" si="2"/>
        <v/>
      </c>
      <c r="O79" t="str">
        <f>IF(SUM(O77:O78)=1,O25,"")</f>
        <v/>
      </c>
      <c r="P79" t="str">
        <f t="shared" ref="P79:BJ79" si="3">IF(SUM(P77:P78)=1,P25,"")</f>
        <v/>
      </c>
      <c r="Q79" t="str">
        <f t="shared" si="3"/>
        <v/>
      </c>
      <c r="R79" t="str">
        <f t="shared" si="3"/>
        <v/>
      </c>
      <c r="S79" t="str">
        <f t="shared" si="3"/>
        <v/>
      </c>
      <c r="T79" t="str">
        <f t="shared" si="3"/>
        <v/>
      </c>
      <c r="U79" t="str">
        <f t="shared" si="3"/>
        <v/>
      </c>
      <c r="V79" t="str">
        <f t="shared" si="3"/>
        <v/>
      </c>
      <c r="W79" t="str">
        <f t="shared" si="3"/>
        <v/>
      </c>
      <c r="X79" t="str">
        <f t="shared" si="3"/>
        <v/>
      </c>
      <c r="Y79">
        <f t="shared" si="3"/>
        <v>13</v>
      </c>
      <c r="Z79">
        <f t="shared" si="3"/>
        <v>14</v>
      </c>
      <c r="AA79">
        <f t="shared" si="3"/>
        <v>15</v>
      </c>
      <c r="AB79">
        <f t="shared" si="3"/>
        <v>16</v>
      </c>
      <c r="AC79">
        <f t="shared" si="3"/>
        <v>17</v>
      </c>
      <c r="AD79">
        <f t="shared" si="3"/>
        <v>18</v>
      </c>
      <c r="AE79">
        <f t="shared" si="3"/>
        <v>19</v>
      </c>
      <c r="AF79">
        <f t="shared" si="3"/>
        <v>20</v>
      </c>
      <c r="AG79">
        <f t="shared" si="3"/>
        <v>21</v>
      </c>
      <c r="AH79">
        <f t="shared" si="3"/>
        <v>22</v>
      </c>
      <c r="AI79">
        <f t="shared" si="3"/>
        <v>23</v>
      </c>
      <c r="AJ79">
        <f t="shared" si="3"/>
        <v>24</v>
      </c>
      <c r="AK79">
        <f t="shared" si="3"/>
        <v>25</v>
      </c>
      <c r="AL79">
        <f t="shared" si="3"/>
        <v>26</v>
      </c>
      <c r="AM79">
        <f t="shared" si="3"/>
        <v>27</v>
      </c>
      <c r="AN79">
        <f t="shared" si="3"/>
        <v>28</v>
      </c>
      <c r="AO79">
        <f t="shared" si="3"/>
        <v>29</v>
      </c>
      <c r="AP79">
        <f t="shared" si="3"/>
        <v>30</v>
      </c>
      <c r="AQ79">
        <f t="shared" si="3"/>
        <v>31</v>
      </c>
      <c r="AR79">
        <f t="shared" si="3"/>
        <v>32</v>
      </c>
      <c r="AS79">
        <f t="shared" si="3"/>
        <v>33</v>
      </c>
      <c r="AT79">
        <f t="shared" si="3"/>
        <v>34</v>
      </c>
      <c r="AU79">
        <f t="shared" si="3"/>
        <v>35</v>
      </c>
      <c r="AV79">
        <f t="shared" si="3"/>
        <v>36</v>
      </c>
      <c r="AW79">
        <f t="shared" si="3"/>
        <v>37</v>
      </c>
      <c r="AX79">
        <f t="shared" si="3"/>
        <v>38</v>
      </c>
      <c r="AY79">
        <f t="shared" si="3"/>
        <v>39</v>
      </c>
      <c r="AZ79">
        <f t="shared" si="3"/>
        <v>40</v>
      </c>
      <c r="BA79">
        <f t="shared" si="3"/>
        <v>41</v>
      </c>
      <c r="BB79">
        <f t="shared" si="3"/>
        <v>42</v>
      </c>
      <c r="BC79">
        <f t="shared" si="3"/>
        <v>43</v>
      </c>
      <c r="BD79">
        <f t="shared" si="3"/>
        <v>44</v>
      </c>
      <c r="BE79">
        <f t="shared" si="3"/>
        <v>45</v>
      </c>
      <c r="BF79">
        <f t="shared" si="3"/>
        <v>46</v>
      </c>
      <c r="BG79">
        <f t="shared" si="3"/>
        <v>47</v>
      </c>
      <c r="BH79">
        <f t="shared" si="3"/>
        <v>48</v>
      </c>
      <c r="BI79">
        <f t="shared" si="3"/>
        <v>49</v>
      </c>
      <c r="BJ79">
        <f t="shared" si="3"/>
        <v>50</v>
      </c>
    </row>
    <row r="80" spans="12:62" x14ac:dyDescent="0.2">
      <c r="L80" t="s">
        <v>22</v>
      </c>
      <c r="M80" t="str">
        <f>IF(SUM(M77:M78)=1," out of ","")</f>
        <v/>
      </c>
      <c r="N80" t="str">
        <f t="shared" ref="N80:BJ80" si="4">IF(SUM(N77:N78)=1," out of ","")</f>
        <v/>
      </c>
      <c r="O80" t="str">
        <f t="shared" si="4"/>
        <v/>
      </c>
      <c r="P80" t="str">
        <f t="shared" si="4"/>
        <v/>
      </c>
      <c r="Q80" t="str">
        <f t="shared" si="4"/>
        <v/>
      </c>
      <c r="R80" t="str">
        <f t="shared" si="4"/>
        <v/>
      </c>
      <c r="S80" t="str">
        <f t="shared" si="4"/>
        <v/>
      </c>
      <c r="T80" t="str">
        <f t="shared" si="4"/>
        <v/>
      </c>
      <c r="U80" t="str">
        <f t="shared" si="4"/>
        <v/>
      </c>
      <c r="V80" t="str">
        <f t="shared" si="4"/>
        <v/>
      </c>
      <c r="W80" t="str">
        <f t="shared" si="4"/>
        <v/>
      </c>
      <c r="X80" t="str">
        <f t="shared" si="4"/>
        <v/>
      </c>
      <c r="Y80" t="str">
        <f t="shared" si="4"/>
        <v xml:space="preserve"> out of </v>
      </c>
      <c r="Z80" t="str">
        <f t="shared" si="4"/>
        <v xml:space="preserve"> out of </v>
      </c>
      <c r="AA80" t="str">
        <f t="shared" si="4"/>
        <v xml:space="preserve"> out of </v>
      </c>
      <c r="AB80" t="str">
        <f t="shared" si="4"/>
        <v xml:space="preserve"> out of </v>
      </c>
      <c r="AC80" t="str">
        <f t="shared" si="4"/>
        <v xml:space="preserve"> out of </v>
      </c>
      <c r="AD80" t="str">
        <f t="shared" si="4"/>
        <v xml:space="preserve"> out of </v>
      </c>
      <c r="AE80" t="str">
        <f t="shared" si="4"/>
        <v xml:space="preserve"> out of </v>
      </c>
      <c r="AF80" t="str">
        <f t="shared" si="4"/>
        <v xml:space="preserve"> out of </v>
      </c>
      <c r="AG80" t="str">
        <f t="shared" si="4"/>
        <v xml:space="preserve"> out of </v>
      </c>
      <c r="AH80" t="str">
        <f t="shared" si="4"/>
        <v xml:space="preserve"> out of </v>
      </c>
      <c r="AI80" t="str">
        <f t="shared" si="4"/>
        <v xml:space="preserve"> out of </v>
      </c>
      <c r="AJ80" t="str">
        <f t="shared" si="4"/>
        <v xml:space="preserve"> out of </v>
      </c>
      <c r="AK80" t="str">
        <f t="shared" si="4"/>
        <v xml:space="preserve"> out of </v>
      </c>
      <c r="AL80" t="str">
        <f t="shared" si="4"/>
        <v xml:space="preserve"> out of </v>
      </c>
      <c r="AM80" t="str">
        <f t="shared" si="4"/>
        <v xml:space="preserve"> out of </v>
      </c>
      <c r="AN80" t="str">
        <f t="shared" si="4"/>
        <v xml:space="preserve"> out of </v>
      </c>
      <c r="AO80" t="str">
        <f t="shared" si="4"/>
        <v xml:space="preserve"> out of </v>
      </c>
      <c r="AP80" t="str">
        <f t="shared" si="4"/>
        <v xml:space="preserve"> out of </v>
      </c>
      <c r="AQ80" t="str">
        <f t="shared" si="4"/>
        <v xml:space="preserve"> out of </v>
      </c>
      <c r="AR80" t="str">
        <f t="shared" si="4"/>
        <v xml:space="preserve"> out of </v>
      </c>
      <c r="AS80" t="str">
        <f t="shared" si="4"/>
        <v xml:space="preserve"> out of </v>
      </c>
      <c r="AT80" t="str">
        <f t="shared" si="4"/>
        <v xml:space="preserve"> out of </v>
      </c>
      <c r="AU80" t="str">
        <f t="shared" si="4"/>
        <v xml:space="preserve"> out of </v>
      </c>
      <c r="AV80" t="str">
        <f t="shared" si="4"/>
        <v xml:space="preserve"> out of </v>
      </c>
      <c r="AW80" t="str">
        <f t="shared" si="4"/>
        <v xml:space="preserve"> out of </v>
      </c>
      <c r="AX80" t="str">
        <f t="shared" si="4"/>
        <v xml:space="preserve"> out of </v>
      </c>
      <c r="AY80" t="str">
        <f t="shared" si="4"/>
        <v xml:space="preserve"> out of </v>
      </c>
      <c r="AZ80" t="str">
        <f t="shared" si="4"/>
        <v xml:space="preserve"> out of </v>
      </c>
      <c r="BA80" t="str">
        <f t="shared" si="4"/>
        <v xml:space="preserve"> out of </v>
      </c>
      <c r="BB80" t="str">
        <f t="shared" si="4"/>
        <v xml:space="preserve"> out of </v>
      </c>
      <c r="BC80" t="str">
        <f t="shared" si="4"/>
        <v xml:space="preserve"> out of </v>
      </c>
      <c r="BD80" t="str">
        <f t="shared" si="4"/>
        <v xml:space="preserve"> out of </v>
      </c>
      <c r="BE80" t="str">
        <f t="shared" si="4"/>
        <v xml:space="preserve"> out of </v>
      </c>
      <c r="BF80" t="str">
        <f t="shared" si="4"/>
        <v xml:space="preserve"> out of </v>
      </c>
      <c r="BG80" t="str">
        <f t="shared" si="4"/>
        <v xml:space="preserve"> out of </v>
      </c>
      <c r="BH80" t="str">
        <f t="shared" si="4"/>
        <v xml:space="preserve"> out of </v>
      </c>
      <c r="BI80" t="str">
        <f t="shared" si="4"/>
        <v xml:space="preserve"> out of </v>
      </c>
      <c r="BJ80" t="str">
        <f t="shared" si="4"/>
        <v xml:space="preserve"> out of </v>
      </c>
    </row>
    <row r="81" spans="12:62" x14ac:dyDescent="0.2">
      <c r="L81" t="s">
        <v>23</v>
      </c>
      <c r="M81" t="str">
        <f t="shared" ref="M81:N81" si="5">IF(SUM(M77:M78)=1,MATCH(0,M26:M75,-1)-1+M25,"")</f>
        <v/>
      </c>
      <c r="N81" t="str">
        <f t="shared" si="5"/>
        <v/>
      </c>
      <c r="O81" t="str">
        <f>IF(SUM(O77:O78)=1,MATCH(0,O26:O75,-1)-1+O25,"")</f>
        <v/>
      </c>
      <c r="P81" t="str">
        <f t="shared" ref="P81:BJ81" si="6">IF(SUM(P77:P78)=1,MATCH(0,P26:P75,-1)-1+P25,"")</f>
        <v/>
      </c>
      <c r="Q81" t="str">
        <f t="shared" si="6"/>
        <v/>
      </c>
      <c r="R81" t="str">
        <f t="shared" si="6"/>
        <v/>
      </c>
      <c r="S81" t="str">
        <f t="shared" si="6"/>
        <v/>
      </c>
      <c r="T81" t="str">
        <f t="shared" si="6"/>
        <v/>
      </c>
      <c r="U81" t="str">
        <f t="shared" si="6"/>
        <v/>
      </c>
      <c r="V81" t="str">
        <f t="shared" si="6"/>
        <v/>
      </c>
      <c r="W81" t="str">
        <f t="shared" si="6"/>
        <v/>
      </c>
      <c r="X81" t="str">
        <f t="shared" si="6"/>
        <v/>
      </c>
      <c r="Y81">
        <f t="shared" si="6"/>
        <v>14</v>
      </c>
      <c r="Z81">
        <f t="shared" si="6"/>
        <v>16</v>
      </c>
      <c r="AA81">
        <f t="shared" si="6"/>
        <v>18</v>
      </c>
      <c r="AB81">
        <f t="shared" si="6"/>
        <v>20</v>
      </c>
      <c r="AC81">
        <f t="shared" si="6"/>
        <v>22</v>
      </c>
      <c r="AD81">
        <f t="shared" si="6"/>
        <v>23</v>
      </c>
      <c r="AE81">
        <f t="shared" si="6"/>
        <v>26</v>
      </c>
      <c r="AF81">
        <f t="shared" si="6"/>
        <v>28</v>
      </c>
      <c r="AG81">
        <f t="shared" si="6"/>
        <v>30</v>
      </c>
      <c r="AH81">
        <f t="shared" si="6"/>
        <v>32</v>
      </c>
      <c r="AI81">
        <f t="shared" si="6"/>
        <v>34</v>
      </c>
      <c r="AJ81">
        <f t="shared" si="6"/>
        <v>36</v>
      </c>
      <c r="AK81">
        <f t="shared" si="6"/>
        <v>38</v>
      </c>
      <c r="AL81">
        <f t="shared" si="6"/>
        <v>41</v>
      </c>
      <c r="AM81">
        <f t="shared" si="6"/>
        <v>43</v>
      </c>
      <c r="AN81">
        <f t="shared" si="6"/>
        <v>45</v>
      </c>
      <c r="AO81">
        <f t="shared" si="6"/>
        <v>47</v>
      </c>
      <c r="AP81">
        <f t="shared" si="6"/>
        <v>50</v>
      </c>
      <c r="AQ81">
        <f t="shared" si="6"/>
        <v>52</v>
      </c>
      <c r="AR81">
        <f t="shared" si="6"/>
        <v>54</v>
      </c>
      <c r="AS81">
        <f t="shared" si="6"/>
        <v>57</v>
      </c>
      <c r="AT81">
        <f t="shared" si="6"/>
        <v>59</v>
      </c>
      <c r="AU81">
        <f t="shared" si="6"/>
        <v>61</v>
      </c>
      <c r="AV81">
        <f t="shared" si="6"/>
        <v>64</v>
      </c>
      <c r="AW81">
        <f t="shared" si="6"/>
        <v>66</v>
      </c>
      <c r="AX81">
        <f t="shared" si="6"/>
        <v>69</v>
      </c>
      <c r="AY81">
        <f t="shared" si="6"/>
        <v>71</v>
      </c>
      <c r="AZ81">
        <f t="shared" si="6"/>
        <v>74</v>
      </c>
      <c r="BA81">
        <f t="shared" si="6"/>
        <v>76</v>
      </c>
      <c r="BB81">
        <f t="shared" si="6"/>
        <v>79</v>
      </c>
      <c r="BC81">
        <f t="shared" si="6"/>
        <v>81</v>
      </c>
      <c r="BD81">
        <f t="shared" si="6"/>
        <v>83</v>
      </c>
      <c r="BE81">
        <f t="shared" si="6"/>
        <v>86</v>
      </c>
      <c r="BF81">
        <f t="shared" si="6"/>
        <v>88</v>
      </c>
      <c r="BG81">
        <f t="shared" si="6"/>
        <v>91</v>
      </c>
      <c r="BH81">
        <f t="shared" si="6"/>
        <v>93</v>
      </c>
      <c r="BI81">
        <f t="shared" si="6"/>
        <v>96</v>
      </c>
      <c r="BJ81">
        <f t="shared" si="6"/>
        <v>99</v>
      </c>
    </row>
    <row r="82" spans="12:62" x14ac:dyDescent="0.2">
      <c r="L82" t="s">
        <v>24</v>
      </c>
      <c r="M82" t="str">
        <f>M79&amp;M80&amp;M81</f>
        <v/>
      </c>
      <c r="N82" t="str">
        <f t="shared" ref="N82:BJ82" si="7">N79&amp;N80&amp;N81</f>
        <v/>
      </c>
      <c r="O82" t="str">
        <f t="shared" si="7"/>
        <v/>
      </c>
      <c r="P82" t="str">
        <f t="shared" si="7"/>
        <v/>
      </c>
      <c r="Q82" t="str">
        <f t="shared" si="7"/>
        <v/>
      </c>
      <c r="R82" t="str">
        <f t="shared" si="7"/>
        <v/>
      </c>
      <c r="S82" t="str">
        <f t="shared" si="7"/>
        <v/>
      </c>
      <c r="T82" t="str">
        <f t="shared" si="7"/>
        <v/>
      </c>
      <c r="U82" t="str">
        <f t="shared" si="7"/>
        <v/>
      </c>
      <c r="V82" t="str">
        <f t="shared" si="7"/>
        <v/>
      </c>
      <c r="W82" t="str">
        <f t="shared" si="7"/>
        <v/>
      </c>
      <c r="X82" t="str">
        <f t="shared" si="7"/>
        <v/>
      </c>
      <c r="Y82" t="str">
        <f t="shared" si="7"/>
        <v>13 out of 14</v>
      </c>
      <c r="Z82" t="str">
        <f t="shared" si="7"/>
        <v>14 out of 16</v>
      </c>
      <c r="AA82" t="str">
        <f t="shared" si="7"/>
        <v>15 out of 18</v>
      </c>
      <c r="AB82" t="str">
        <f t="shared" si="7"/>
        <v>16 out of 20</v>
      </c>
      <c r="AC82" t="str">
        <f t="shared" si="7"/>
        <v>17 out of 22</v>
      </c>
      <c r="AD82" t="str">
        <f t="shared" si="7"/>
        <v>18 out of 23</v>
      </c>
      <c r="AE82" t="str">
        <f t="shared" si="7"/>
        <v>19 out of 26</v>
      </c>
      <c r="AF82" t="str">
        <f t="shared" si="7"/>
        <v>20 out of 28</v>
      </c>
      <c r="AG82" t="str">
        <f t="shared" si="7"/>
        <v>21 out of 30</v>
      </c>
      <c r="AH82" t="str">
        <f t="shared" si="7"/>
        <v>22 out of 32</v>
      </c>
      <c r="AI82" t="str">
        <f t="shared" si="7"/>
        <v>23 out of 34</v>
      </c>
      <c r="AJ82" t="str">
        <f t="shared" si="7"/>
        <v>24 out of 36</v>
      </c>
      <c r="AK82" t="str">
        <f t="shared" si="7"/>
        <v>25 out of 38</v>
      </c>
      <c r="AL82" t="str">
        <f t="shared" si="7"/>
        <v>26 out of 41</v>
      </c>
      <c r="AM82" t="str">
        <f t="shared" si="7"/>
        <v>27 out of 43</v>
      </c>
      <c r="AN82" t="str">
        <f t="shared" si="7"/>
        <v>28 out of 45</v>
      </c>
      <c r="AO82" t="str">
        <f t="shared" si="7"/>
        <v>29 out of 47</v>
      </c>
      <c r="AP82" t="str">
        <f t="shared" si="7"/>
        <v>30 out of 50</v>
      </c>
      <c r="AQ82" t="str">
        <f t="shared" si="7"/>
        <v>31 out of 52</v>
      </c>
      <c r="AR82" t="str">
        <f t="shared" si="7"/>
        <v>32 out of 54</v>
      </c>
      <c r="AS82" t="str">
        <f t="shared" si="7"/>
        <v>33 out of 57</v>
      </c>
      <c r="AT82" t="str">
        <f t="shared" si="7"/>
        <v>34 out of 59</v>
      </c>
      <c r="AU82" t="str">
        <f t="shared" si="7"/>
        <v>35 out of 61</v>
      </c>
      <c r="AV82" t="str">
        <f t="shared" si="7"/>
        <v>36 out of 64</v>
      </c>
      <c r="AW82" t="str">
        <f t="shared" si="7"/>
        <v>37 out of 66</v>
      </c>
      <c r="AX82" t="str">
        <f t="shared" si="7"/>
        <v>38 out of 69</v>
      </c>
      <c r="AY82" t="str">
        <f t="shared" si="7"/>
        <v>39 out of 71</v>
      </c>
      <c r="AZ82" t="str">
        <f t="shared" si="7"/>
        <v>40 out of 74</v>
      </c>
      <c r="BA82" t="str">
        <f t="shared" si="7"/>
        <v>41 out of 76</v>
      </c>
      <c r="BB82" t="str">
        <f t="shared" si="7"/>
        <v>42 out of 79</v>
      </c>
      <c r="BC82" t="str">
        <f t="shared" si="7"/>
        <v>43 out of 81</v>
      </c>
      <c r="BD82" t="str">
        <f t="shared" si="7"/>
        <v>44 out of 83</v>
      </c>
      <c r="BE82" t="str">
        <f t="shared" si="7"/>
        <v>45 out of 86</v>
      </c>
      <c r="BF82" t="str">
        <f t="shared" si="7"/>
        <v>46 out of 88</v>
      </c>
      <c r="BG82" t="str">
        <f t="shared" si="7"/>
        <v>47 out of 91</v>
      </c>
      <c r="BH82" t="str">
        <f t="shared" si="7"/>
        <v>48 out of 93</v>
      </c>
      <c r="BI82" t="str">
        <f t="shared" si="7"/>
        <v>49 out of 96</v>
      </c>
      <c r="BJ82" t="str">
        <f t="shared" si="7"/>
        <v>50 out of 99</v>
      </c>
    </row>
    <row r="84" spans="12:62" x14ac:dyDescent="0.2">
      <c r="M84" s="4"/>
    </row>
    <row r="89" spans="12:62" x14ac:dyDescent="0.2">
      <c r="M89" s="4"/>
    </row>
    <row r="124" spans="13:13" x14ac:dyDescent="0.2">
      <c r="M124" s="4"/>
    </row>
    <row r="257" spans="13:13" x14ac:dyDescent="0.2">
      <c r="M257" s="4"/>
    </row>
    <row r="259" spans="13:13" x14ac:dyDescent="0.2">
      <c r="M259" s="4"/>
    </row>
    <row r="450" spans="13:13" x14ac:dyDescent="0.2">
      <c r="M450" s="4"/>
    </row>
    <row r="498" spans="13:13" x14ac:dyDescent="0.2">
      <c r="M498" s="4"/>
    </row>
    <row r="645" spans="13:13" x14ac:dyDescent="0.2">
      <c r="M645" s="4"/>
    </row>
    <row r="795" spans="13:13" x14ac:dyDescent="0.2">
      <c r="M795" s="4"/>
    </row>
    <row r="858" spans="13:13" x14ac:dyDescent="0.2">
      <c r="M858" s="4"/>
    </row>
    <row r="877" spans="13:13" x14ac:dyDescent="0.2">
      <c r="M877" s="4"/>
    </row>
    <row r="893" spans="13:13" x14ac:dyDescent="0.2">
      <c r="M893" s="4"/>
    </row>
    <row r="894" spans="13:13" x14ac:dyDescent="0.2">
      <c r="M894" s="4"/>
    </row>
    <row r="895" spans="13:13" x14ac:dyDescent="0.2">
      <c r="M895" s="4"/>
    </row>
    <row r="920" spans="13:13" x14ac:dyDescent="0.2">
      <c r="M920" s="4"/>
    </row>
    <row r="921" spans="13:13" x14ac:dyDescent="0.2">
      <c r="M921" s="4"/>
    </row>
    <row r="922" spans="13:13" x14ac:dyDescent="0.2">
      <c r="M922" s="4"/>
    </row>
    <row r="929" spans="13:13" x14ac:dyDescent="0.2">
      <c r="M929" s="4"/>
    </row>
    <row r="950" spans="13:13" x14ac:dyDescent="0.2">
      <c r="M950" s="4"/>
    </row>
    <row r="971" spans="13:13" x14ac:dyDescent="0.2">
      <c r="M971" s="4"/>
    </row>
    <row r="1014" spans="13:13" x14ac:dyDescent="0.2">
      <c r="M1014" s="4"/>
    </row>
    <row r="1016" spans="13:13" x14ac:dyDescent="0.2">
      <c r="M1016" s="4"/>
    </row>
    <row r="1039" spans="13:13" x14ac:dyDescent="0.2">
      <c r="M1039" s="4"/>
    </row>
    <row r="1078" spans="13:13" x14ac:dyDescent="0.2">
      <c r="M1078" s="4"/>
    </row>
    <row r="1097" spans="13:13" x14ac:dyDescent="0.2">
      <c r="M1097" s="4"/>
    </row>
    <row r="1099" spans="13:13" x14ac:dyDescent="0.2">
      <c r="M1099" s="4"/>
    </row>
    <row r="1135" spans="13:13" x14ac:dyDescent="0.2">
      <c r="M1135" s="4"/>
    </row>
    <row r="1140" spans="13:13" x14ac:dyDescent="0.2">
      <c r="M1140" s="4"/>
    </row>
    <row r="1152" spans="13:13" x14ac:dyDescent="0.2">
      <c r="M1152" s="4"/>
    </row>
    <row r="1185" spans="13:13" x14ac:dyDescent="0.2">
      <c r="M1185" s="4"/>
    </row>
    <row r="1221" spans="13:13" x14ac:dyDescent="0.2">
      <c r="M1221" s="4"/>
    </row>
    <row r="1236" spans="13:13" x14ac:dyDescent="0.2">
      <c r="M1236" s="4"/>
    </row>
    <row r="1239" spans="13:13" x14ac:dyDescent="0.2">
      <c r="M1239" s="4"/>
    </row>
    <row r="1240" spans="13:13" x14ac:dyDescent="0.2">
      <c r="M1240" s="4"/>
    </row>
    <row r="1241" spans="13:13" x14ac:dyDescent="0.2">
      <c r="M1241" s="4"/>
    </row>
    <row r="1242" spans="13:13" x14ac:dyDescent="0.2">
      <c r="M1242" s="4"/>
    </row>
    <row r="1330" spans="13:13" x14ac:dyDescent="0.2">
      <c r="M1330" s="4"/>
    </row>
    <row r="1371" spans="13:13" x14ac:dyDescent="0.2">
      <c r="M1371" s="4"/>
    </row>
    <row r="1372" spans="13:13" x14ac:dyDescent="0.2">
      <c r="M1372" s="4"/>
    </row>
    <row r="1379" spans="13:13" x14ac:dyDescent="0.2">
      <c r="M1379" s="4"/>
    </row>
    <row r="1434" spans="13:13" x14ac:dyDescent="0.2">
      <c r="M1434" s="4"/>
    </row>
    <row r="1451" spans="13:13" x14ac:dyDescent="0.2">
      <c r="M1451" s="4"/>
    </row>
    <row r="1454" spans="13:13" x14ac:dyDescent="0.2">
      <c r="M1454" s="4"/>
    </row>
    <row r="1455" spans="13:13" x14ac:dyDescent="0.2">
      <c r="M1455" s="4"/>
    </row>
    <row r="1456" spans="13:13" x14ac:dyDescent="0.2">
      <c r="M1456" s="4"/>
    </row>
    <row r="1462" spans="13:13" x14ac:dyDescent="0.2">
      <c r="M1462" s="4"/>
    </row>
    <row r="1488" spans="13:13" x14ac:dyDescent="0.2">
      <c r="M1488" s="4"/>
    </row>
    <row r="1491" spans="13:13" x14ac:dyDescent="0.2">
      <c r="M1491" s="4"/>
    </row>
    <row r="1569" spans="13:13" x14ac:dyDescent="0.2">
      <c r="M1569" s="4"/>
    </row>
    <row r="1574" spans="13:13" x14ac:dyDescent="0.2">
      <c r="M1574" s="4"/>
    </row>
    <row r="1575" spans="13:13" x14ac:dyDescent="0.2">
      <c r="M1575" s="4"/>
    </row>
    <row r="1614" spans="13:13" x14ac:dyDescent="0.2">
      <c r="M1614" s="4"/>
    </row>
    <row r="1623" spans="13:13" x14ac:dyDescent="0.2">
      <c r="M1623" s="4"/>
    </row>
    <row r="1627" spans="13:13" x14ac:dyDescent="0.2">
      <c r="M1627" s="4"/>
    </row>
    <row r="1643" spans="13:13" x14ac:dyDescent="0.2">
      <c r="M1643" s="4"/>
    </row>
    <row r="1646" spans="13:13" x14ac:dyDescent="0.2">
      <c r="M1646" s="4"/>
    </row>
    <row r="1647" spans="13:13" x14ac:dyDescent="0.2">
      <c r="M1647" s="4"/>
    </row>
    <row r="1649" spans="13:13" x14ac:dyDescent="0.2">
      <c r="M1649" s="4"/>
    </row>
    <row r="1696" spans="13:13" x14ac:dyDescent="0.2">
      <c r="M1696" s="4"/>
    </row>
    <row r="1729" spans="13:13" x14ac:dyDescent="0.2">
      <c r="M1729" s="4"/>
    </row>
    <row r="1841" spans="13:13" x14ac:dyDescent="0.2">
      <c r="M1841" s="4"/>
    </row>
    <row r="1844" spans="13:13" x14ac:dyDescent="0.2">
      <c r="M1844" s="4"/>
    </row>
    <row r="1845" spans="13:13" x14ac:dyDescent="0.2">
      <c r="M1845" s="4"/>
    </row>
    <row r="1846" spans="13:13" x14ac:dyDescent="0.2">
      <c r="M1846" s="4"/>
    </row>
    <row r="1847" spans="13:13" x14ac:dyDescent="0.2">
      <c r="M1847" s="4"/>
    </row>
    <row r="1848" spans="13:13" x14ac:dyDescent="0.2">
      <c r="M1848" s="4"/>
    </row>
    <row r="1904" spans="13:13" x14ac:dyDescent="0.2">
      <c r="M1904" s="4"/>
    </row>
    <row r="1906" spans="13:13" x14ac:dyDescent="0.2">
      <c r="M1906" s="4"/>
    </row>
    <row r="1909" spans="13:13" x14ac:dyDescent="0.2">
      <c r="M1909" s="4"/>
    </row>
    <row r="1978" spans="13:13" x14ac:dyDescent="0.2">
      <c r="M1978" s="4"/>
    </row>
    <row r="1979" spans="13:13" x14ac:dyDescent="0.2">
      <c r="M1979" s="4"/>
    </row>
    <row r="2033" spans="13:13" x14ac:dyDescent="0.2">
      <c r="M2033" s="4"/>
    </row>
    <row r="2034" spans="13:13" x14ac:dyDescent="0.2">
      <c r="M2034" s="4"/>
    </row>
    <row r="2035" spans="13:13" x14ac:dyDescent="0.2">
      <c r="M2035" s="4"/>
    </row>
    <row r="2036" spans="13:13" x14ac:dyDescent="0.2">
      <c r="M2036" s="4"/>
    </row>
    <row r="2077" spans="13:13" x14ac:dyDescent="0.2">
      <c r="M2077" s="4"/>
    </row>
    <row r="2087" spans="13:13" x14ac:dyDescent="0.2">
      <c r="M2087" s="4"/>
    </row>
    <row r="2132" spans="13:13" x14ac:dyDescent="0.2">
      <c r="M2132" s="4"/>
    </row>
    <row r="2179" spans="13:13" x14ac:dyDescent="0.2">
      <c r="M2179" s="4"/>
    </row>
    <row r="2204" spans="13:13" x14ac:dyDescent="0.2">
      <c r="M2204" s="4"/>
    </row>
    <row r="2205" spans="13:13" x14ac:dyDescent="0.2">
      <c r="M2205" s="4"/>
    </row>
    <row r="2206" spans="13:13" x14ac:dyDescent="0.2">
      <c r="M2206" s="4"/>
    </row>
    <row r="2213" spans="13:13" x14ac:dyDescent="0.2">
      <c r="M2213" s="4"/>
    </row>
    <row r="2234" spans="13:13" x14ac:dyDescent="0.2">
      <c r="M2234" s="4"/>
    </row>
  </sheetData>
  <sheetProtection algorithmName="SHA-512" hashValue="QrAy8siSKtLS3vdZlgRrJWz+ILRTSmsPTSOzG2K2t+vXIgtpZH3i2dNrMp7ixJCMJumDWkqTAocuQhmeRRrwWg==" saltValue="xV1165ThxPMT3am/OVBpvQ==" spinCount="100000" sheet="1" objects="1" scenarios="1" selectLockedCells="1"/>
  <mergeCells count="11">
    <mergeCell ref="Q6:S7"/>
    <mergeCell ref="C8:C10"/>
    <mergeCell ref="C11:C12"/>
    <mergeCell ref="C13:C14"/>
    <mergeCell ref="D1:H6"/>
    <mergeCell ref="C1:C6"/>
    <mergeCell ref="A8:B10"/>
    <mergeCell ref="A11:B12"/>
    <mergeCell ref="A13:B14"/>
    <mergeCell ref="A15:B18"/>
    <mergeCell ref="C15:C18"/>
  </mergeCells>
  <conditionalFormatting sqref="M26:BJ75">
    <cfRule type="colorScale" priority="1">
      <colorScale>
        <cfvo type="min"/>
        <cfvo type="percentile" val="50"/>
        <cfvo type="max"/>
        <color rgb="FFF8696B"/>
        <color rgb="FFFFEB84"/>
        <color rgb="FF63BE7B"/>
      </colorScale>
    </cfRule>
  </conditionalFormatting>
  <dataValidations count="6">
    <dataValidation type="whole" allowBlank="1" showInputMessage="1" showErrorMessage="1" prompt="Input the number of times your model residual exceeded your threshold in a past period (between 1-500)" sqref="E8" xr:uid="{6A5158DF-B317-431E-8A24-062DED221453}">
      <formula1>1</formula1>
      <formula2>500</formula2>
    </dataValidation>
    <dataValidation type="whole" allowBlank="1" showInputMessage="1" showErrorMessage="1" prompt="Input the number of times your model residual did not exceed  your threshold in the same past period (between 1-500)" sqref="E9" xr:uid="{1B4A5756-FD93-4ED2-ADCF-4B27971608F3}">
      <formula1>1</formula1>
      <formula2>500</formula2>
    </dataValidation>
    <dataValidation allowBlank="1" showInputMessage="1" showErrorMessage="1" prompt="Independent probability this failure actually occurs." sqref="E11" xr:uid="{930003FD-BD83-4E2F-9ABF-013220B7AEDD}"/>
    <dataValidation allowBlank="1" showInputMessage="1" showErrorMessage="1" prompt="The maximum estimated false alarm rate you would tolerate. Or if you prefer use 100% minus the minimum true positive rate you would tolerate" sqref="E12" xr:uid="{C6E9ED9E-07DF-4198-845C-D79DD01AC42C}"/>
    <dataValidation allowBlank="1" showInputMessage="1" showErrorMessage="1" prompt="Used for a one off study, in a prior window of arbitrary length, the number of model residuals above the threshold." sqref="E13" xr:uid="{F1FD20C1-CBD0-475C-AD6D-DD17791F7E8B}"/>
    <dataValidation allowBlank="1" showInputMessage="1" showErrorMessage="1" prompt="Used for a one off study, in a prior window of arbitrary length, the number of model residuals below the threshold." sqref="E14" xr:uid="{46C5B073-11BB-43B5-BD3F-8FC10FDB3496}"/>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Alarm X out of Y Calculator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Christopher Perullo</dc:creator>
  <cp:lastModifiedBy>Christopher Perullo</cp:lastModifiedBy>
  <dcterms:created xsi:type="dcterms:W3CDTF">2024-01-05T21:13:28Z</dcterms:created>
  <dcterms:modified xsi:type="dcterms:W3CDTF">2024-03-18T16:31:30Z</dcterms:modified>
</cp:coreProperties>
</file>